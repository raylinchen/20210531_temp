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0755" windowHeight="7155"/>
  </bookViews>
  <sheets>
    <sheet name="推算表" sheetId="1" r:id="rId1"/>
    <sheet name="資料來源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17" i="1"/>
  <c r="N70"/>
  <c r="N69"/>
  <c r="N68"/>
  <c r="N66"/>
  <c r="N65"/>
  <c r="N60"/>
  <c r="N52"/>
  <c r="N50"/>
  <c r="N46"/>
  <c r="N45"/>
  <c r="N43"/>
  <c r="N42"/>
  <c r="N41"/>
  <c r="N40"/>
  <c r="N38"/>
  <c r="N37"/>
  <c r="N36"/>
  <c r="N35"/>
  <c r="N34"/>
  <c r="N33"/>
  <c r="N31"/>
  <c r="N30"/>
  <c r="N29"/>
  <c r="N28"/>
  <c r="N27"/>
  <c r="N22"/>
  <c r="N21"/>
  <c r="N20"/>
  <c r="N19"/>
  <c r="N16"/>
  <c r="N15"/>
  <c r="N14"/>
  <c r="N13"/>
  <c r="N12"/>
  <c r="N11"/>
  <c r="N10"/>
  <c r="O9"/>
  <c r="N54"/>
  <c r="N51"/>
  <c r="N47"/>
  <c r="N49"/>
  <c r="N7"/>
  <c r="N6"/>
  <c r="N5"/>
  <c r="N4"/>
  <c r="N3"/>
  <c r="N2"/>
  <c r="N75"/>
  <c r="N82"/>
  <c r="N81"/>
  <c r="N80"/>
  <c r="N79"/>
  <c r="N78"/>
  <c r="N77"/>
  <c r="N76"/>
  <c r="N83"/>
  <c r="O2"/>
  <c r="O3"/>
  <c r="O4"/>
  <c r="O5"/>
  <c r="O6"/>
  <c r="O7"/>
  <c r="O75"/>
  <c r="O76"/>
  <c r="O77"/>
  <c r="O78"/>
  <c r="O79"/>
  <c r="O80"/>
  <c r="O81"/>
  <c r="O82"/>
  <c r="O83"/>
  <c r="O26"/>
  <c r="O32"/>
  <c r="O39"/>
  <c r="O44"/>
  <c r="O49"/>
  <c r="N58"/>
  <c r="N56"/>
  <c r="N55"/>
  <c r="M48"/>
  <c r="N48" s="1"/>
  <c r="J74"/>
  <c r="M74" s="1"/>
  <c r="N74" s="1"/>
  <c r="M73"/>
  <c r="O73" s="1"/>
  <c r="M72"/>
  <c r="N72" s="1"/>
  <c r="M71"/>
  <c r="N71" s="1"/>
  <c r="M70"/>
  <c r="O70" s="1"/>
  <c r="M69"/>
  <c r="O69" s="1"/>
  <c r="M68"/>
  <c r="O68" s="1"/>
  <c r="M67"/>
  <c r="N67" s="1"/>
  <c r="M66"/>
  <c r="O66" s="1"/>
  <c r="M65"/>
  <c r="O65" s="1"/>
  <c r="M64"/>
  <c r="N64" s="1"/>
  <c r="M63"/>
  <c r="N63" s="1"/>
  <c r="M62"/>
  <c r="N62" s="1"/>
  <c r="M61"/>
  <c r="N61" s="1"/>
  <c r="M60"/>
  <c r="O60" s="1"/>
  <c r="M59"/>
  <c r="N59" s="1"/>
  <c r="M58"/>
  <c r="O58" s="1"/>
  <c r="M57"/>
  <c r="O57" s="1"/>
  <c r="M56"/>
  <c r="O56" s="1"/>
  <c r="M55"/>
  <c r="O55" s="1"/>
  <c r="M54"/>
  <c r="O54" s="1"/>
  <c r="M51"/>
  <c r="O51" s="1"/>
  <c r="M52"/>
  <c r="O52" s="1"/>
  <c r="M53"/>
  <c r="N53" s="1"/>
  <c r="M50"/>
  <c r="O50" s="1"/>
  <c r="M47"/>
  <c r="O47" s="1"/>
  <c r="M25"/>
  <c r="O25" s="1"/>
  <c r="M24"/>
  <c r="N24" s="1"/>
  <c r="M23"/>
  <c r="G81"/>
  <c r="G82"/>
  <c r="G83"/>
  <c r="G76"/>
  <c r="G77"/>
  <c r="G78"/>
  <c r="G79"/>
  <c r="G80"/>
  <c r="G75"/>
  <c r="G50"/>
  <c r="G54"/>
  <c r="G59"/>
  <c r="G62"/>
  <c r="G65"/>
  <c r="G68"/>
  <c r="G71"/>
  <c r="G72"/>
  <c r="G49"/>
  <c r="G47"/>
  <c r="G44"/>
  <c r="G39"/>
  <c r="G32"/>
  <c r="G26"/>
  <c r="G23"/>
  <c r="G17"/>
  <c r="G8"/>
  <c r="M8" s="1"/>
  <c r="G3"/>
  <c r="G4"/>
  <c r="G5"/>
  <c r="G6"/>
  <c r="G7"/>
  <c r="G2"/>
  <c r="O8" l="1"/>
  <c r="O86" s="1"/>
  <c r="M86"/>
  <c r="O48"/>
  <c r="O53"/>
  <c r="O71"/>
  <c r="O63"/>
  <c r="O24"/>
  <c r="O72"/>
  <c r="O64"/>
  <c r="N25"/>
  <c r="O67"/>
  <c r="O59"/>
  <c r="N73"/>
  <c r="O61"/>
  <c r="O23"/>
  <c r="O74"/>
  <c r="O62"/>
  <c r="N23"/>
  <c r="G84"/>
  <c r="N57"/>
  <c r="N86" l="1"/>
  <c r="N87" s="1"/>
  <c r="N88" s="1"/>
  <c r="P88" s="1"/>
</calcChain>
</file>

<file path=xl/sharedStrings.xml><?xml version="1.0" encoding="utf-8"?>
<sst xmlns="http://schemas.openxmlformats.org/spreadsheetml/2006/main" count="279" uniqueCount="192">
  <si>
    <t>設計 &amp; 軟體</t>
  </si>
  <si>
    <t>機構設計</t>
  </si>
  <si>
    <t>光學系統設計</t>
  </si>
  <si>
    <t>電/氣 設計</t>
  </si>
  <si>
    <t>控制軟體</t>
  </si>
  <si>
    <t>檢測軟體</t>
  </si>
  <si>
    <t>CIM 軟體</t>
  </si>
  <si>
    <t>DESCRIPTION_2</t>
  </si>
  <si>
    <t>DESCRIPTION_1</t>
  </si>
  <si>
    <t>ITEM</t>
  </si>
  <si>
    <t>Q'TY</t>
  </si>
  <si>
    <t>UNIT(單位)</t>
  </si>
  <si>
    <t>UNIT PRICE</t>
  </si>
  <si>
    <t>金額(NTD)</t>
  </si>
  <si>
    <t>REMARK</t>
  </si>
  <si>
    <t>H</t>
    <phoneticPr fontId="1" type="noConversion"/>
  </si>
  <si>
    <t>機體框架</t>
  </si>
  <si>
    <t>機體架構費用</t>
  </si>
  <si>
    <t>機體外罩</t>
  </si>
  <si>
    <t>AOI 龍門座組成</t>
  </si>
  <si>
    <t>氣浮平台組成</t>
  </si>
  <si>
    <t>AOI 龍門座電控模組</t>
  </si>
  <si>
    <t>Review 龍門座電控模組</t>
  </si>
  <si>
    <t>Gripper/氣壓等傳動模組</t>
  </si>
  <si>
    <t>CIM 通訊模組</t>
  </si>
  <si>
    <t>電控箱配電模組</t>
  </si>
  <si>
    <t>set</t>
    <phoneticPr fontId="1" type="noConversion"/>
  </si>
  <si>
    <t>FAVITE</t>
  </si>
  <si>
    <t>FAVITE</t>
    <phoneticPr fontId="1" type="noConversion"/>
  </si>
  <si>
    <t>450件</t>
  </si>
  <si>
    <t>線性滑軌&amp;螺桿組, 線軌背板, 線性滑台, 伺服馬達＆驅動器, 其他機製件</t>
  </si>
  <si>
    <t>50件</t>
  </si>
  <si>
    <t>45件</t>
  </si>
  <si>
    <t>200件</t>
  </si>
  <si>
    <t>30件</t>
  </si>
  <si>
    <t>90件</t>
  </si>
  <si>
    <t>AOI光機組成</t>
  </si>
  <si>
    <t>Review組成</t>
  </si>
  <si>
    <t>AOI 反射照明模組</t>
  </si>
  <si>
    <t>AOI 背光模組</t>
  </si>
  <si>
    <t>Review 背光模組 (1)</t>
  </si>
  <si>
    <t>Review 背光模組 (2)</t>
  </si>
  <si>
    <t>檢測IP電腦系統</t>
  </si>
  <si>
    <t>台廠</t>
  </si>
  <si>
    <t>工業電腦</t>
  </si>
  <si>
    <t>5組</t>
  </si>
  <si>
    <t>電控模組</t>
  </si>
  <si>
    <t>各類機製件</t>
    <phoneticPr fontId="1" type="noConversion"/>
  </si>
  <si>
    <t>光學/檢測/電控 模組費用</t>
  </si>
  <si>
    <t>組裝/裝機人力費用</t>
  </si>
  <si>
    <t>工廠組裝費用</t>
  </si>
  <si>
    <t>客服人力 (機台搬入/水電氣管路確認/整機水平與作動調整/光學鏡頭調整/運轉測試/流片測試)</t>
  </si>
  <si>
    <t>控制軟體人力 (IPC電腦安裝測試/機台作動測試/流片測試)</t>
  </si>
  <si>
    <t>檢測人力 (缺陷檢查/參數設定測試)</t>
  </si>
  <si>
    <t>CIM 人力 (I/O點確認/資訊連線測試/流片測試)</t>
  </si>
  <si>
    <t>客服人力 (驗收前叫修, 維修保固)</t>
  </si>
  <si>
    <t>運輸費用</t>
  </si>
  <si>
    <t>設備清潔，包裝，起重，綁櫃，運輸</t>
  </si>
  <si>
    <t>管銷費用</t>
  </si>
  <si>
    <t>利潤</t>
  </si>
  <si>
    <t>其他市構件, 機製件</t>
    <phoneticPr fontId="1" type="noConversion"/>
  </si>
  <si>
    <t>崗岩底座</t>
    <phoneticPr fontId="1" type="noConversion"/>
  </si>
  <si>
    <t>花崗岩龍門</t>
    <phoneticPr fontId="1" type="noConversion"/>
  </si>
  <si>
    <t>10組</t>
    <phoneticPr fontId="1" type="noConversion"/>
  </si>
  <si>
    <t>1組</t>
  </si>
  <si>
    <t>1組</t>
    <phoneticPr fontId="1" type="noConversion"/>
  </si>
  <si>
    <t>MATROX</t>
    <phoneticPr fontId="1" type="noConversion"/>
  </si>
  <si>
    <t>線材</t>
  </si>
  <si>
    <t>線材</t>
    <phoneticPr fontId="1" type="noConversion"/>
  </si>
  <si>
    <t>鏡頭</t>
    <phoneticPr fontId="1" type="noConversion"/>
  </si>
  <si>
    <t>影像擷取卡</t>
    <phoneticPr fontId="1" type="noConversion"/>
  </si>
  <si>
    <t>相機</t>
  </si>
  <si>
    <t>4組</t>
  </si>
  <si>
    <t>4組</t>
    <phoneticPr fontId="1" type="noConversion"/>
  </si>
  <si>
    <t>VMU-V(378-505)</t>
    <phoneticPr fontId="1" type="noConversion"/>
  </si>
  <si>
    <t>378-804-3</t>
  </si>
  <si>
    <t>Mitutoyo</t>
  </si>
  <si>
    <t>顯微鏡</t>
    <phoneticPr fontId="1" type="noConversion"/>
  </si>
  <si>
    <t>1套</t>
  </si>
  <si>
    <t>CBL-RGB-FVT</t>
    <phoneticPr fontId="1" type="noConversion"/>
  </si>
  <si>
    <t>台廠</t>
    <phoneticPr fontId="1" type="noConversion"/>
  </si>
  <si>
    <t>控制箱</t>
  </si>
  <si>
    <t>控制箱</t>
    <phoneticPr fontId="1" type="noConversion"/>
  </si>
  <si>
    <t>LED光源</t>
  </si>
  <si>
    <t>日系</t>
  </si>
  <si>
    <t>10 meter connector</t>
  </si>
  <si>
    <t>AITEC</t>
  </si>
  <si>
    <t>8pin connector</t>
  </si>
  <si>
    <t>LPDC1-24150NCW</t>
  </si>
  <si>
    <t>VS TECHNOLOGY</t>
  </si>
  <si>
    <t>VS TECHNOLOGY</t>
    <phoneticPr fontId="1" type="noConversion"/>
  </si>
  <si>
    <t>U-TECHNOLOGY</t>
  </si>
  <si>
    <t>2組</t>
    <phoneticPr fontId="1" type="noConversion"/>
  </si>
  <si>
    <t>WDI</t>
    <phoneticPr fontId="1" type="noConversion"/>
  </si>
  <si>
    <t>PCIE-L132, CP-104UL/ 4 port RS-232</t>
    <phoneticPr fontId="1" type="noConversion"/>
  </si>
  <si>
    <t>WI 30DPRO-E43</t>
  </si>
  <si>
    <t>雷射追焦模組</t>
    <phoneticPr fontId="1" type="noConversion"/>
  </si>
  <si>
    <t>運動卡, 通訊卡, 網路卡</t>
  </si>
  <si>
    <t>6張</t>
  </si>
  <si>
    <t>2台</t>
  </si>
  <si>
    <t>工業電腦</t>
    <phoneticPr fontId="1" type="noConversion"/>
  </si>
  <si>
    <t>ELLIIXA</t>
    <phoneticPr fontId="1" type="noConversion"/>
  </si>
  <si>
    <t>16K CXP</t>
    <phoneticPr fontId="1" type="noConversion"/>
  </si>
  <si>
    <t>NIKON</t>
    <phoneticPr fontId="1" type="noConversion"/>
  </si>
  <si>
    <t>AIN-F043-112</t>
    <phoneticPr fontId="1" type="noConversion"/>
  </si>
  <si>
    <t>LLRJ1620ｘ20-30W</t>
    <phoneticPr fontId="1" type="noConversion"/>
  </si>
  <si>
    <t xml:space="preserve">廠商價格 </t>
    <phoneticPr fontId="1" type="noConversion"/>
  </si>
  <si>
    <t>自評價格僅有依據</t>
    <phoneticPr fontId="1" type="noConversion"/>
  </si>
  <si>
    <t>自評價格-自製50%利潤</t>
    <phoneticPr fontId="1" type="noConversion"/>
  </si>
  <si>
    <t>網路詢價</t>
    <phoneticPr fontId="1" type="noConversion"/>
  </si>
  <si>
    <t>數量</t>
    <phoneticPr fontId="1" type="noConversion"/>
  </si>
  <si>
    <t>幣別</t>
    <phoneticPr fontId="1" type="noConversion"/>
  </si>
  <si>
    <t>廠商價格</t>
    <phoneticPr fontId="1" type="noConversion"/>
  </si>
  <si>
    <t>自評價格-僅有依據</t>
    <phoneticPr fontId="1" type="noConversion"/>
  </si>
  <si>
    <t>利潤</t>
    <phoneticPr fontId="1" type="noConversion"/>
  </si>
  <si>
    <t>FAVITE</t>
    <phoneticPr fontId="1" type="noConversion"/>
  </si>
  <si>
    <t>1件</t>
    <phoneticPr fontId="1" type="noConversion"/>
  </si>
  <si>
    <t>Total</t>
    <phoneticPr fontId="1" type="noConversion"/>
  </si>
  <si>
    <t>氣浮版, 氣壓缸, 配氣塊, 氣浮座,其他機製件</t>
    <phoneticPr fontId="1" type="noConversion"/>
  </si>
  <si>
    <t>氣浮版, 氣壓缸, 配氣塊, 氣浮座</t>
  </si>
  <si>
    <t>線性滑軌&amp;螺桿組, 線軌背板, 線性滑台, 伺服馬達＆驅動器, 線性鼻輪組, Cable chain, 其他機製件</t>
    <phoneticPr fontId="1" type="noConversion"/>
  </si>
  <si>
    <t xml:space="preserve">線性滑軌&amp;螺桿組, </t>
    <phoneticPr fontId="1" type="noConversion"/>
  </si>
  <si>
    <t>光學尺, X/Y線性滑台, 線性滑軌,線碼動子, 氣壓缸, 護蓋, 電磁閥,過濾器, 壓力模組, 電控比例閥, 壓力感測器, 其餘機製件與市構件</t>
    <phoneticPr fontId="1" type="noConversion"/>
  </si>
  <si>
    <t>光學尺, X/Y線性滑台</t>
  </si>
  <si>
    <t>EQ_控制 &amp; 安全-電器模組, 各馬達-軸控 &amp; 線材-控制模組, 各相機-控制 &amp; 線材-通訊模組, PC &amp;EQ 內 , 外部 &amp; 上下游通訊-綜合模組</t>
    <phoneticPr fontId="1" type="noConversion"/>
  </si>
  <si>
    <t>EQ_控制 &amp; 安全-電器模組</t>
  </si>
  <si>
    <t>網路卡, 通訊卡, 其他市構件</t>
    <phoneticPr fontId="1" type="noConversion"/>
  </si>
  <si>
    <t>網路卡, 通訊卡</t>
  </si>
  <si>
    <t>ATF5, ATF5 controller, ControllerMCM+, WDIWLED</t>
    <phoneticPr fontId="1" type="noConversion"/>
  </si>
  <si>
    <t>廠商利潤應為</t>
    <phoneticPr fontId="1" type="noConversion"/>
  </si>
  <si>
    <t xml:space="preserve"> ± </t>
    <phoneticPr fontId="1" type="noConversion"/>
  </si>
  <si>
    <t>日系</t>
    <phoneticPr fontId="1" type="noConversion"/>
  </si>
  <si>
    <t>378-801-3</t>
  </si>
  <si>
    <t>378-802-6</t>
    <phoneticPr fontId="1" type="noConversion"/>
  </si>
  <si>
    <t>378-803-3</t>
    <phoneticPr fontId="1" type="noConversion"/>
  </si>
  <si>
    <t>物鏡組2X</t>
    <phoneticPr fontId="1" type="noConversion"/>
  </si>
  <si>
    <t>物鏡組5X</t>
    <phoneticPr fontId="1" type="noConversion"/>
  </si>
  <si>
    <t>物鏡組10X</t>
    <phoneticPr fontId="1" type="noConversion"/>
  </si>
  <si>
    <t>物鏡組20X</t>
    <phoneticPr fontId="1" type="noConversion"/>
  </si>
  <si>
    <t>CPU i-7 64bit</t>
    <phoneticPr fontId="1" type="noConversion"/>
  </si>
  <si>
    <t>RAP4G4C6</t>
    <phoneticPr fontId="1" type="noConversion"/>
  </si>
  <si>
    <t>FA-L12056-075/V</t>
    <phoneticPr fontId="1" type="noConversion"/>
  </si>
  <si>
    <t>SPX-N80</t>
    <phoneticPr fontId="1" type="noConversion"/>
  </si>
  <si>
    <t>SPX-FAV-RGB</t>
    <phoneticPr fontId="1" type="noConversion"/>
  </si>
  <si>
    <t>REVOX</t>
    <phoneticPr fontId="1" type="noConversion"/>
  </si>
  <si>
    <t>4CXP6-B/1-MB/1-15M</t>
    <phoneticPr fontId="1" type="noConversion"/>
  </si>
  <si>
    <t>VL-ECNR5</t>
    <phoneticPr fontId="1" type="noConversion"/>
  </si>
  <si>
    <t>VLP-2410-1</t>
    <phoneticPr fontId="1" type="noConversion"/>
  </si>
  <si>
    <t>UDB-60W60</t>
    <phoneticPr fontId="1" type="noConversion"/>
  </si>
  <si>
    <t>LCB-N600-48</t>
    <phoneticPr fontId="1" type="noConversion"/>
  </si>
  <si>
    <t>Type: Server level
CPU: Xeon E5 64bit
System: Win10 Pro</t>
    <phoneticPr fontId="1" type="noConversion"/>
  </si>
  <si>
    <t>人工</t>
    <phoneticPr fontId="1" type="noConversion"/>
  </si>
  <si>
    <t>AOI區</t>
    <phoneticPr fontId="1" type="noConversion"/>
  </si>
  <si>
    <t>Review區</t>
    <phoneticPr fontId="1" type="noConversion"/>
  </si>
  <si>
    <t>鋁擠型骨架</t>
    <phoneticPr fontId="1" type="noConversion"/>
  </si>
  <si>
    <t>門</t>
    <phoneticPr fontId="1" type="noConversion"/>
  </si>
  <si>
    <t>MXS6-20AS-A93L</t>
    <phoneticPr fontId="3" type="noConversion"/>
  </si>
  <si>
    <t>MXS6L-20AS-A93L</t>
    <phoneticPr fontId="3" type="noConversion"/>
  </si>
  <si>
    <t>MXS6-10-A93L</t>
    <phoneticPr fontId="3" type="noConversion"/>
  </si>
  <si>
    <t>PF2A551-04-1</t>
    <phoneticPr fontId="3" type="noConversion"/>
  </si>
  <si>
    <t>SY7240-5LZE-03</t>
  </si>
  <si>
    <t>ITV3050-314BL2</t>
  </si>
  <si>
    <t>PSE200-B4C</t>
    <phoneticPr fontId="3" type="noConversion"/>
  </si>
  <si>
    <t>ZSE40-01-22L-F</t>
    <phoneticPr fontId="3" type="noConversion"/>
  </si>
  <si>
    <r>
      <t>ISE40A-01-R-A-X501</t>
    </r>
    <r>
      <rPr>
        <sz val="12"/>
        <rFont val="Calibri"/>
        <family val="2"/>
      </rPr>
      <t xml:space="preserve"> </t>
    </r>
    <phoneticPr fontId="3" type="noConversion"/>
  </si>
  <si>
    <t>FFU-T26E-H</t>
  </si>
  <si>
    <t>SY7240-5LZE-03</t>
    <phoneticPr fontId="3" type="noConversion"/>
  </si>
  <si>
    <t>花崗岩(2550x500x300)</t>
    <phoneticPr fontId="1" type="noConversion"/>
  </si>
  <si>
    <t>花崗岩(500x300x200)</t>
    <phoneticPr fontId="1" type="noConversion"/>
  </si>
  <si>
    <t>鋼骨</t>
    <phoneticPr fontId="1" type="noConversion"/>
  </si>
  <si>
    <t>廠外組裝(3人 x 45天 = 135人力)</t>
    <phoneticPr fontId="1" type="noConversion"/>
  </si>
  <si>
    <t>廠外組裝(1人 x 30天 = 30人力)</t>
    <phoneticPr fontId="1" type="noConversion"/>
  </si>
  <si>
    <t>廠外組裝(1人 x 10天 = 10人力)</t>
    <phoneticPr fontId="1" type="noConversion"/>
  </si>
  <si>
    <t>驗收前保修, 驗收後保固期(1人 x 75天 = 75人力)</t>
    <phoneticPr fontId="1" type="noConversion"/>
  </si>
  <si>
    <t>廠內組裝1.5個月(20人 x 45天 = 900 人力)</t>
    <phoneticPr fontId="1" type="noConversion"/>
  </si>
  <si>
    <t>SGMJV-01ADA2C</t>
    <phoneticPr fontId="3" type="noConversion"/>
  </si>
  <si>
    <t>SGDV-R90A01B</t>
    <phoneticPr fontId="3" type="noConversion"/>
  </si>
  <si>
    <t>SGMJV-A5ADA2C</t>
    <phoneticPr fontId="3" type="noConversion"/>
  </si>
  <si>
    <t>PK525PA-R23L</t>
    <phoneticPr fontId="3" type="noConversion"/>
  </si>
  <si>
    <t>CRD503-K</t>
    <phoneticPr fontId="3" type="noConversion"/>
  </si>
  <si>
    <t>PK546PA-R23L</t>
    <phoneticPr fontId="3" type="noConversion"/>
  </si>
  <si>
    <t>CRD507-K</t>
    <phoneticPr fontId="3" type="noConversion"/>
  </si>
  <si>
    <t>EE-SX671</t>
    <phoneticPr fontId="3" type="noConversion"/>
  </si>
  <si>
    <t>EE-SX671P</t>
    <phoneticPr fontId="3" type="noConversion"/>
  </si>
  <si>
    <t>RGH41A05L00A</t>
    <phoneticPr fontId="1" type="noConversion"/>
  </si>
  <si>
    <t>A-9531-0250</t>
    <phoneticPr fontId="1" type="noConversion"/>
  </si>
  <si>
    <t>ISE40A-01-R-F-X501</t>
    <phoneticPr fontId="3" type="noConversion"/>
  </si>
  <si>
    <t>SJ-E156L+OP87416+OP87417</t>
    <phoneticPr fontId="1" type="noConversion"/>
  </si>
  <si>
    <t>OP-96436</t>
    <phoneticPr fontId="1" type="noConversion"/>
  </si>
  <si>
    <t>MXS6L-20AT-A93L</t>
    <phoneticPr fontId="3" type="noConversion"/>
  </si>
  <si>
    <t>SY3120-5LZE-M5</t>
    <phoneticPr fontId="1" type="noConversion"/>
  </si>
  <si>
    <t>SGDV-R70A01B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</si>
</sst>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0_ 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name val="Calibri"/>
      <family val="2"/>
    </font>
    <font>
      <sz val="12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10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77" fontId="0" fillId="3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Fill="1" applyBorder="1" applyAlignment="1">
      <alignment horizontal="right" vertical="center" wrapText="1"/>
    </xf>
    <xf numFmtId="0" fontId="0" fillId="0" borderId="4" xfId="0" applyFill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right" vertical="center" wrapText="1"/>
    </xf>
    <xf numFmtId="176" fontId="0" fillId="0" borderId="4" xfId="0" applyNumberFormat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176" fontId="0" fillId="0" borderId="3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Fill="1" applyBorder="1" applyAlignment="1">
      <alignment horizontal="right" vertical="center" wrapText="1"/>
    </xf>
    <xf numFmtId="0" fontId="2" fillId="0" borderId="1" xfId="0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7" fillId="0" borderId="4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9" fillId="0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0" fontId="9" fillId="4" borderId="2" xfId="0" applyFont="1" applyFill="1" applyBorder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76" fontId="0" fillId="0" borderId="1" xfId="0" applyNumberFormat="1" applyBorder="1" applyAlignment="1">
      <alignment vertical="center" wrapText="1"/>
    </xf>
  </cellXfs>
  <cellStyles count="2">
    <cellStyle name="一般" xfId="0" builtinId="0"/>
    <cellStyle name="一般_2007 LKAI2 初版預算目標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666750</xdr:colOff>
      <xdr:row>15</xdr:row>
      <xdr:rowOff>133350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67350" cy="327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7"/>
  <sheetViews>
    <sheetView tabSelected="1" zoomScale="85" zoomScaleNormal="85" workbookViewId="0"/>
  </sheetViews>
  <sheetFormatPr defaultRowHeight="16.5"/>
  <cols>
    <col min="1" max="1" width="7" style="1" bestFit="1" customWidth="1"/>
    <col min="2" max="2" width="27.125" style="1" bestFit="1" customWidth="1"/>
    <col min="3" max="3" width="59.5" style="1" customWidth="1"/>
    <col min="4" max="4" width="6.5" style="1" bestFit="1" customWidth="1"/>
    <col min="5" max="5" width="12.625" style="1" bestFit="1" customWidth="1"/>
    <col min="6" max="6" width="13.5" style="1" bestFit="1" customWidth="1"/>
    <col min="7" max="7" width="11.75" style="1" bestFit="1" customWidth="1"/>
    <col min="8" max="8" width="22.375" style="1" bestFit="1" customWidth="1"/>
    <col min="9" max="9" width="30.25" style="1" customWidth="1"/>
    <col min="10" max="10" width="22.375" style="1" hidden="1" customWidth="1"/>
    <col min="11" max="11" width="89.375" style="1" hidden="1" customWidth="1"/>
    <col min="12" max="12" width="8.125" style="1" bestFit="1" customWidth="1"/>
    <col min="13" max="13" width="21.25" style="1" bestFit="1" customWidth="1"/>
    <col min="14" max="15" width="25.375" style="1" bestFit="1" customWidth="1"/>
    <col min="16" max="16" width="11.125" style="1" bestFit="1" customWidth="1"/>
    <col min="17" max="17" width="11.125" style="1" hidden="1" customWidth="1"/>
    <col min="18" max="18" width="6.25" style="1" bestFit="1" customWidth="1"/>
    <col min="20" max="21" width="9.5" style="1" bestFit="1" customWidth="1"/>
    <col min="22" max="22" width="12.25" style="1" bestFit="1" customWidth="1"/>
    <col min="23" max="23" width="9.5" style="1" bestFit="1" customWidth="1"/>
    <col min="24" max="16384" width="9" style="1"/>
  </cols>
  <sheetData>
    <row r="1" spans="1:18">
      <c r="A1" s="3" t="s">
        <v>9</v>
      </c>
      <c r="B1" s="3" t="s">
        <v>8</v>
      </c>
      <c r="C1" s="3" t="s">
        <v>7</v>
      </c>
      <c r="D1" s="3" t="s">
        <v>10</v>
      </c>
      <c r="E1" s="3" t="s">
        <v>11</v>
      </c>
      <c r="F1" s="3" t="s">
        <v>12</v>
      </c>
      <c r="G1" s="3" t="s">
        <v>13</v>
      </c>
      <c r="H1" s="34" t="s">
        <v>14</v>
      </c>
      <c r="I1" s="34"/>
      <c r="J1" s="34"/>
      <c r="K1" s="34"/>
      <c r="L1" s="34"/>
      <c r="M1" s="2" t="s">
        <v>106</v>
      </c>
      <c r="N1" s="2" t="s">
        <v>107</v>
      </c>
      <c r="O1" s="2" t="s">
        <v>108</v>
      </c>
      <c r="P1" s="4" t="s">
        <v>109</v>
      </c>
      <c r="Q1" s="4" t="s">
        <v>111</v>
      </c>
      <c r="R1" s="4" t="s">
        <v>110</v>
      </c>
    </row>
    <row r="2" spans="1:18">
      <c r="A2" s="34">
        <v>1</v>
      </c>
      <c r="B2" s="34" t="s">
        <v>0</v>
      </c>
      <c r="C2" s="10" t="s">
        <v>1</v>
      </c>
      <c r="D2" s="11">
        <v>120</v>
      </c>
      <c r="E2" s="14" t="s">
        <v>15</v>
      </c>
      <c r="F2" s="12">
        <v>3000</v>
      </c>
      <c r="G2" s="12">
        <f>F2*D2</f>
        <v>360000</v>
      </c>
      <c r="H2" s="34"/>
      <c r="I2" s="34"/>
      <c r="J2" s="34"/>
      <c r="K2" s="34"/>
      <c r="L2" s="34"/>
      <c r="M2" s="2">
        <v>360000</v>
      </c>
      <c r="N2" s="15">
        <f t="shared" ref="N2:N25" si="0">M2</f>
        <v>360000</v>
      </c>
      <c r="O2" s="7">
        <f t="shared" ref="O2:O7" si="1">M2</f>
        <v>360000</v>
      </c>
      <c r="P2" s="4"/>
      <c r="Q2" s="4"/>
      <c r="R2" s="4"/>
    </row>
    <row r="3" spans="1:18">
      <c r="A3" s="34"/>
      <c r="B3" s="34"/>
      <c r="C3" s="10" t="s">
        <v>2</v>
      </c>
      <c r="D3" s="11">
        <v>24</v>
      </c>
      <c r="E3" s="14" t="s">
        <v>15</v>
      </c>
      <c r="F3" s="12">
        <v>3000</v>
      </c>
      <c r="G3" s="12">
        <f t="shared" ref="G3:G83" si="2">F3*D3</f>
        <v>72000</v>
      </c>
      <c r="H3" s="34"/>
      <c r="I3" s="34"/>
      <c r="J3" s="34"/>
      <c r="K3" s="34"/>
      <c r="L3" s="34"/>
      <c r="M3" s="2">
        <v>72000</v>
      </c>
      <c r="N3" s="15">
        <f t="shared" si="0"/>
        <v>72000</v>
      </c>
      <c r="O3" s="7">
        <f t="shared" si="1"/>
        <v>72000</v>
      </c>
      <c r="P3" s="4"/>
      <c r="Q3" s="4"/>
      <c r="R3" s="4"/>
    </row>
    <row r="4" spans="1:18">
      <c r="A4" s="34"/>
      <c r="B4" s="34"/>
      <c r="C4" s="10" t="s">
        <v>3</v>
      </c>
      <c r="D4" s="11">
        <v>24</v>
      </c>
      <c r="E4" s="14" t="s">
        <v>15</v>
      </c>
      <c r="F4" s="12">
        <v>3000</v>
      </c>
      <c r="G4" s="12">
        <f t="shared" si="2"/>
        <v>72000</v>
      </c>
      <c r="H4" s="34"/>
      <c r="I4" s="34"/>
      <c r="J4" s="34"/>
      <c r="K4" s="34"/>
      <c r="L4" s="34"/>
      <c r="M4" s="2">
        <v>72000</v>
      </c>
      <c r="N4" s="15">
        <f t="shared" si="0"/>
        <v>72000</v>
      </c>
      <c r="O4" s="7">
        <f t="shared" si="1"/>
        <v>72000</v>
      </c>
      <c r="P4" s="4"/>
      <c r="Q4" s="4"/>
      <c r="R4" s="4"/>
    </row>
    <row r="5" spans="1:18">
      <c r="A5" s="34"/>
      <c r="B5" s="34"/>
      <c r="C5" s="10" t="s">
        <v>4</v>
      </c>
      <c r="D5" s="11">
        <v>80</v>
      </c>
      <c r="E5" s="14" t="s">
        <v>15</v>
      </c>
      <c r="F5" s="12">
        <v>3000</v>
      </c>
      <c r="G5" s="12">
        <f t="shared" si="2"/>
        <v>240000</v>
      </c>
      <c r="H5" s="34"/>
      <c r="I5" s="34"/>
      <c r="J5" s="34"/>
      <c r="K5" s="34"/>
      <c r="L5" s="34"/>
      <c r="M5" s="2">
        <v>240000</v>
      </c>
      <c r="N5" s="15">
        <f t="shared" si="0"/>
        <v>240000</v>
      </c>
      <c r="O5" s="7">
        <f t="shared" si="1"/>
        <v>240000</v>
      </c>
      <c r="P5" s="4"/>
      <c r="Q5" s="4"/>
      <c r="R5" s="4"/>
    </row>
    <row r="6" spans="1:18">
      <c r="A6" s="34"/>
      <c r="B6" s="34"/>
      <c r="C6" s="10" t="s">
        <v>5</v>
      </c>
      <c r="D6" s="11">
        <v>24</v>
      </c>
      <c r="E6" s="14" t="s">
        <v>15</v>
      </c>
      <c r="F6" s="12">
        <v>3000</v>
      </c>
      <c r="G6" s="12">
        <f t="shared" si="2"/>
        <v>72000</v>
      </c>
      <c r="H6" s="34"/>
      <c r="I6" s="34"/>
      <c r="J6" s="34"/>
      <c r="K6" s="34"/>
      <c r="L6" s="34"/>
      <c r="M6" s="2">
        <v>72000</v>
      </c>
      <c r="N6" s="15">
        <f t="shared" si="0"/>
        <v>72000</v>
      </c>
      <c r="O6" s="7">
        <f t="shared" si="1"/>
        <v>72000</v>
      </c>
      <c r="P6" s="4"/>
      <c r="Q6" s="4"/>
      <c r="R6" s="4"/>
    </row>
    <row r="7" spans="1:18">
      <c r="A7" s="34"/>
      <c r="B7" s="34"/>
      <c r="C7" s="10" t="s">
        <v>6</v>
      </c>
      <c r="D7" s="11">
        <v>24</v>
      </c>
      <c r="E7" s="14" t="s">
        <v>15</v>
      </c>
      <c r="F7" s="12">
        <v>3000</v>
      </c>
      <c r="G7" s="12">
        <f>F7*D7</f>
        <v>72000</v>
      </c>
      <c r="H7" s="34"/>
      <c r="I7" s="34"/>
      <c r="J7" s="34"/>
      <c r="K7" s="34"/>
      <c r="L7" s="34"/>
      <c r="M7" s="2">
        <v>72000</v>
      </c>
      <c r="N7" s="15">
        <f t="shared" si="0"/>
        <v>72000</v>
      </c>
      <c r="O7" s="7">
        <f t="shared" si="1"/>
        <v>72000</v>
      </c>
      <c r="P7" s="4"/>
      <c r="Q7" s="4"/>
      <c r="R7" s="4"/>
    </row>
    <row r="8" spans="1:18">
      <c r="A8" s="34">
        <v>2</v>
      </c>
      <c r="B8" s="34" t="s">
        <v>17</v>
      </c>
      <c r="C8" s="20" t="s">
        <v>16</v>
      </c>
      <c r="D8" s="22">
        <v>1</v>
      </c>
      <c r="E8" s="24" t="s">
        <v>26</v>
      </c>
      <c r="F8" s="26">
        <v>2150000</v>
      </c>
      <c r="G8" s="26">
        <f t="shared" si="2"/>
        <v>2150000</v>
      </c>
      <c r="H8" s="2" t="s">
        <v>28</v>
      </c>
      <c r="I8" s="2" t="s">
        <v>152</v>
      </c>
      <c r="J8" s="2"/>
      <c r="K8" s="2" t="s">
        <v>47</v>
      </c>
      <c r="L8" s="2"/>
      <c r="M8" s="60">
        <f>G8</f>
        <v>2150000</v>
      </c>
      <c r="N8" s="15"/>
      <c r="O8" s="7">
        <f t="shared" ref="O8:O49" si="3">M8/2</f>
        <v>1075000</v>
      </c>
      <c r="P8" s="2"/>
      <c r="Q8" s="2"/>
      <c r="R8" s="2"/>
    </row>
    <row r="9" spans="1:18">
      <c r="A9" s="34"/>
      <c r="B9" s="34"/>
      <c r="C9" s="28"/>
      <c r="D9" s="36"/>
      <c r="E9" s="32"/>
      <c r="F9" s="33"/>
      <c r="G9" s="33"/>
      <c r="H9" s="2" t="s">
        <v>28</v>
      </c>
      <c r="I9" s="2" t="s">
        <v>153</v>
      </c>
      <c r="J9" s="2"/>
      <c r="K9" s="2"/>
      <c r="L9" s="2"/>
      <c r="M9" s="2"/>
      <c r="N9" s="15"/>
      <c r="O9" s="7">
        <f t="shared" si="3"/>
        <v>0</v>
      </c>
      <c r="P9" s="2"/>
      <c r="Q9" s="2"/>
      <c r="R9" s="2"/>
    </row>
    <row r="10" spans="1:18">
      <c r="A10" s="34"/>
      <c r="B10" s="34"/>
      <c r="C10" s="28"/>
      <c r="D10" s="36"/>
      <c r="E10" s="32"/>
      <c r="F10" s="33"/>
      <c r="G10" s="33"/>
      <c r="H10" s="2"/>
      <c r="I10" s="41" t="s">
        <v>159</v>
      </c>
      <c r="J10" s="2"/>
      <c r="K10" s="2"/>
      <c r="L10" s="2"/>
      <c r="M10" s="2"/>
      <c r="N10" s="16">
        <f t="shared" ref="N10:N16" si="4">P10*R10</f>
        <v>80000</v>
      </c>
      <c r="O10" s="7"/>
      <c r="P10" s="2">
        <v>8000</v>
      </c>
      <c r="Q10" s="2"/>
      <c r="R10" s="2">
        <v>10</v>
      </c>
    </row>
    <row r="11" spans="1:18">
      <c r="A11" s="34"/>
      <c r="B11" s="34"/>
      <c r="C11" s="28"/>
      <c r="D11" s="36"/>
      <c r="E11" s="32"/>
      <c r="F11" s="33"/>
      <c r="G11" s="33"/>
      <c r="H11" s="2"/>
      <c r="I11" s="41" t="s">
        <v>160</v>
      </c>
      <c r="J11" s="2"/>
      <c r="K11" s="2"/>
      <c r="L11" s="2"/>
      <c r="M11" s="2"/>
      <c r="N11" s="16">
        <f t="shared" si="4"/>
        <v>27810</v>
      </c>
      <c r="O11" s="7"/>
      <c r="P11" s="2">
        <v>927</v>
      </c>
      <c r="Q11" s="2"/>
      <c r="R11" s="2">
        <v>30</v>
      </c>
    </row>
    <row r="12" spans="1:18">
      <c r="A12" s="34"/>
      <c r="B12" s="34"/>
      <c r="C12" s="28"/>
      <c r="D12" s="36"/>
      <c r="E12" s="32"/>
      <c r="F12" s="33"/>
      <c r="G12" s="33"/>
      <c r="H12" s="2"/>
      <c r="I12" s="41" t="s">
        <v>161</v>
      </c>
      <c r="J12" s="2"/>
      <c r="K12" s="2"/>
      <c r="L12" s="2"/>
      <c r="M12" s="2"/>
      <c r="N12" s="16">
        <f t="shared" si="4"/>
        <v>150900</v>
      </c>
      <c r="O12" s="7"/>
      <c r="P12" s="2">
        <v>15090</v>
      </c>
      <c r="Q12" s="2"/>
      <c r="R12" s="2">
        <v>10</v>
      </c>
    </row>
    <row r="13" spans="1:18">
      <c r="A13" s="34"/>
      <c r="B13" s="34"/>
      <c r="C13" s="28"/>
      <c r="D13" s="36"/>
      <c r="E13" s="32"/>
      <c r="F13" s="33"/>
      <c r="G13" s="33"/>
      <c r="H13" s="2"/>
      <c r="I13" s="41" t="s">
        <v>162</v>
      </c>
      <c r="J13" s="2"/>
      <c r="K13" s="2"/>
      <c r="L13" s="2"/>
      <c r="M13" s="2"/>
      <c r="N13" s="16">
        <f t="shared" si="4"/>
        <v>74100</v>
      </c>
      <c r="O13" s="7"/>
      <c r="P13" s="2">
        <v>7410</v>
      </c>
      <c r="Q13" s="2"/>
      <c r="R13" s="2">
        <v>10</v>
      </c>
    </row>
    <row r="14" spans="1:18">
      <c r="A14" s="34"/>
      <c r="B14" s="34"/>
      <c r="C14" s="28"/>
      <c r="D14" s="36"/>
      <c r="E14" s="32"/>
      <c r="F14" s="33"/>
      <c r="G14" s="33"/>
      <c r="H14" s="2"/>
      <c r="I14" s="42" t="s">
        <v>163</v>
      </c>
      <c r="J14" s="2"/>
      <c r="K14" s="2"/>
      <c r="L14" s="2"/>
      <c r="M14" s="2"/>
      <c r="N14" s="16">
        <f t="shared" si="4"/>
        <v>32990</v>
      </c>
      <c r="O14" s="7"/>
      <c r="P14" s="2">
        <v>3299</v>
      </c>
      <c r="Q14" s="2"/>
      <c r="R14" s="2">
        <v>10</v>
      </c>
    </row>
    <row r="15" spans="1:18">
      <c r="A15" s="34"/>
      <c r="B15" s="34"/>
      <c r="C15" s="28"/>
      <c r="D15" s="36"/>
      <c r="E15" s="32"/>
      <c r="F15" s="33"/>
      <c r="G15" s="33"/>
      <c r="H15" s="2"/>
      <c r="I15" s="43" t="s">
        <v>186</v>
      </c>
      <c r="J15" s="2"/>
      <c r="K15" s="2"/>
      <c r="L15" s="2"/>
      <c r="M15" s="2"/>
      <c r="N15" s="16">
        <f t="shared" si="4"/>
        <v>57190</v>
      </c>
      <c r="O15" s="7"/>
      <c r="P15" s="2">
        <v>5719</v>
      </c>
      <c r="Q15" s="2"/>
      <c r="R15" s="2">
        <v>10</v>
      </c>
    </row>
    <row r="16" spans="1:18">
      <c r="A16" s="34"/>
      <c r="B16" s="34"/>
      <c r="C16" s="21"/>
      <c r="D16" s="23"/>
      <c r="E16" s="25"/>
      <c r="F16" s="27"/>
      <c r="G16" s="27"/>
      <c r="H16" s="2"/>
      <c r="I16" s="44" t="s">
        <v>164</v>
      </c>
      <c r="J16" s="2"/>
      <c r="K16" s="2"/>
      <c r="L16" s="2"/>
      <c r="M16" s="2"/>
      <c r="N16" s="16">
        <f t="shared" si="4"/>
        <v>57190</v>
      </c>
      <c r="O16" s="7"/>
      <c r="P16" s="2">
        <v>5719</v>
      </c>
      <c r="Q16" s="2"/>
      <c r="R16" s="2">
        <v>10</v>
      </c>
    </row>
    <row r="17" spans="1:18">
      <c r="A17" s="34"/>
      <c r="B17" s="34"/>
      <c r="C17" s="20" t="s">
        <v>18</v>
      </c>
      <c r="D17" s="22">
        <v>1</v>
      </c>
      <c r="E17" s="24" t="s">
        <v>26</v>
      </c>
      <c r="F17" s="26">
        <v>1350000</v>
      </c>
      <c r="G17" s="26">
        <f t="shared" si="2"/>
        <v>1350000</v>
      </c>
      <c r="H17" s="2" t="s">
        <v>28</v>
      </c>
      <c r="I17" s="2" t="s">
        <v>154</v>
      </c>
      <c r="J17" s="2"/>
      <c r="K17" s="2" t="s">
        <v>47</v>
      </c>
      <c r="L17" s="2"/>
      <c r="M17" s="60">
        <f>G17</f>
        <v>1350000</v>
      </c>
      <c r="N17" s="15"/>
      <c r="O17" s="7"/>
      <c r="P17" s="2"/>
      <c r="Q17" s="2"/>
      <c r="R17" s="2"/>
    </row>
    <row r="18" spans="1:18">
      <c r="A18" s="34"/>
      <c r="B18" s="34"/>
      <c r="C18" s="28"/>
      <c r="D18" s="36"/>
      <c r="E18" s="32"/>
      <c r="F18" s="33"/>
      <c r="G18" s="33"/>
      <c r="H18" s="2" t="s">
        <v>28</v>
      </c>
      <c r="I18" s="2" t="s">
        <v>155</v>
      </c>
      <c r="J18" s="2"/>
      <c r="K18" s="2"/>
      <c r="L18" s="2"/>
      <c r="M18" s="2"/>
      <c r="N18" s="15"/>
      <c r="O18" s="7"/>
      <c r="P18" s="2"/>
      <c r="Q18" s="2"/>
      <c r="R18" s="2"/>
    </row>
    <row r="19" spans="1:18">
      <c r="A19" s="34"/>
      <c r="B19" s="34"/>
      <c r="C19" s="28"/>
      <c r="D19" s="36"/>
      <c r="E19" s="32"/>
      <c r="F19" s="33"/>
      <c r="G19" s="33"/>
      <c r="H19" s="2"/>
      <c r="I19" s="45" t="s">
        <v>165</v>
      </c>
      <c r="J19" s="2"/>
      <c r="K19" s="2"/>
      <c r="L19" s="2"/>
      <c r="M19" s="2"/>
      <c r="N19" s="16">
        <f t="shared" ref="N19:N22" si="5">P19*R19</f>
        <v>55000</v>
      </c>
      <c r="O19" s="7"/>
      <c r="P19" s="2">
        <v>5500</v>
      </c>
      <c r="Q19" s="2"/>
      <c r="R19" s="2">
        <v>10</v>
      </c>
    </row>
    <row r="20" spans="1:18">
      <c r="A20" s="34"/>
      <c r="B20" s="34"/>
      <c r="C20" s="28"/>
      <c r="D20" s="36"/>
      <c r="E20" s="32"/>
      <c r="F20" s="33"/>
      <c r="G20" s="33"/>
      <c r="H20" s="2"/>
      <c r="I20" s="45" t="s">
        <v>187</v>
      </c>
      <c r="J20" s="2"/>
      <c r="K20" s="2"/>
      <c r="L20" s="2"/>
      <c r="M20" s="2"/>
      <c r="N20" s="16">
        <f t="shared" si="5"/>
        <v>53400</v>
      </c>
      <c r="O20" s="7"/>
      <c r="P20" s="2">
        <v>1780</v>
      </c>
      <c r="Q20" s="2"/>
      <c r="R20" s="2">
        <v>30</v>
      </c>
    </row>
    <row r="21" spans="1:18">
      <c r="A21" s="34"/>
      <c r="B21" s="34"/>
      <c r="C21" s="28"/>
      <c r="D21" s="36"/>
      <c r="E21" s="32"/>
      <c r="F21" s="33"/>
      <c r="G21" s="33"/>
      <c r="H21" s="2"/>
      <c r="I21" s="46" t="s">
        <v>166</v>
      </c>
      <c r="J21" s="2"/>
      <c r="K21" s="2"/>
      <c r="L21" s="2"/>
      <c r="M21" s="2"/>
      <c r="N21" s="16">
        <f t="shared" si="5"/>
        <v>26040</v>
      </c>
      <c r="O21" s="7"/>
      <c r="P21" s="2">
        <v>868</v>
      </c>
      <c r="Q21" s="2"/>
      <c r="R21" s="2">
        <v>30</v>
      </c>
    </row>
    <row r="22" spans="1:18">
      <c r="A22" s="34"/>
      <c r="B22" s="34"/>
      <c r="C22" s="21"/>
      <c r="D22" s="23"/>
      <c r="E22" s="25"/>
      <c r="F22" s="27"/>
      <c r="G22" s="27"/>
      <c r="H22" s="2"/>
      <c r="I22" s="47" t="s">
        <v>188</v>
      </c>
      <c r="J22" s="2"/>
      <c r="K22" s="2"/>
      <c r="L22" s="2"/>
      <c r="M22" s="2"/>
      <c r="N22" s="16">
        <f t="shared" si="5"/>
        <v>97920</v>
      </c>
      <c r="O22" s="7"/>
      <c r="P22" s="2">
        <v>3264</v>
      </c>
      <c r="Q22" s="2"/>
      <c r="R22" s="2">
        <v>30</v>
      </c>
    </row>
    <row r="23" spans="1:18">
      <c r="A23" s="34"/>
      <c r="B23" s="34"/>
      <c r="C23" s="20" t="s">
        <v>19</v>
      </c>
      <c r="D23" s="22">
        <v>1</v>
      </c>
      <c r="E23" s="24" t="s">
        <v>26</v>
      </c>
      <c r="F23" s="26">
        <v>700000</v>
      </c>
      <c r="G23" s="26">
        <f t="shared" si="2"/>
        <v>700000</v>
      </c>
      <c r="H23" s="2" t="s">
        <v>28</v>
      </c>
      <c r="I23" s="2" t="s">
        <v>167</v>
      </c>
      <c r="J23" s="2">
        <v>250000</v>
      </c>
      <c r="K23" s="2" t="s">
        <v>62</v>
      </c>
      <c r="L23" s="2" t="s">
        <v>65</v>
      </c>
      <c r="M23" s="2">
        <f>J23*R23</f>
        <v>250000</v>
      </c>
      <c r="N23" s="15">
        <f t="shared" si="0"/>
        <v>250000</v>
      </c>
      <c r="O23" s="7">
        <f t="shared" si="3"/>
        <v>125000</v>
      </c>
      <c r="P23" s="2"/>
      <c r="Q23" s="2"/>
      <c r="R23" s="2">
        <v>1</v>
      </c>
    </row>
    <row r="24" spans="1:18">
      <c r="A24" s="34"/>
      <c r="B24" s="34"/>
      <c r="C24" s="28"/>
      <c r="D24" s="36"/>
      <c r="E24" s="32"/>
      <c r="F24" s="33"/>
      <c r="G24" s="33"/>
      <c r="H24" s="2" t="s">
        <v>28</v>
      </c>
      <c r="I24" s="2" t="s">
        <v>168</v>
      </c>
      <c r="J24" s="2">
        <v>40000</v>
      </c>
      <c r="K24" s="2" t="s">
        <v>61</v>
      </c>
      <c r="L24" s="2" t="s">
        <v>63</v>
      </c>
      <c r="M24" s="2">
        <f>J24*R24</f>
        <v>400000</v>
      </c>
      <c r="N24" s="15">
        <f t="shared" si="0"/>
        <v>400000</v>
      </c>
      <c r="O24" s="7">
        <f t="shared" si="3"/>
        <v>200000</v>
      </c>
      <c r="P24" s="2"/>
      <c r="Q24" s="2"/>
      <c r="R24" s="2">
        <v>10</v>
      </c>
    </row>
    <row r="25" spans="1:18">
      <c r="A25" s="34"/>
      <c r="B25" s="34"/>
      <c r="C25" s="21"/>
      <c r="D25" s="23"/>
      <c r="E25" s="25"/>
      <c r="F25" s="27"/>
      <c r="G25" s="27"/>
      <c r="H25" s="2" t="s">
        <v>28</v>
      </c>
      <c r="I25" s="2" t="s">
        <v>169</v>
      </c>
      <c r="J25" s="2">
        <v>50000</v>
      </c>
      <c r="K25" s="2" t="s">
        <v>60</v>
      </c>
      <c r="L25" s="2"/>
      <c r="M25" s="2">
        <f>J25*R25</f>
        <v>50000</v>
      </c>
      <c r="N25" s="15">
        <f t="shared" si="0"/>
        <v>50000</v>
      </c>
      <c r="O25" s="7">
        <f t="shared" si="3"/>
        <v>25000</v>
      </c>
      <c r="P25" s="2"/>
      <c r="Q25" s="2"/>
      <c r="R25" s="2">
        <v>1</v>
      </c>
    </row>
    <row r="26" spans="1:18">
      <c r="A26" s="34"/>
      <c r="B26" s="34"/>
      <c r="C26" s="20" t="s">
        <v>20</v>
      </c>
      <c r="D26" s="22">
        <v>1</v>
      </c>
      <c r="E26" s="24" t="s">
        <v>26</v>
      </c>
      <c r="F26" s="26">
        <v>1600000</v>
      </c>
      <c r="G26" s="26">
        <f t="shared" si="2"/>
        <v>1600000</v>
      </c>
      <c r="H26" s="2" t="s">
        <v>28</v>
      </c>
      <c r="I26" s="2" t="s">
        <v>119</v>
      </c>
      <c r="J26" s="2"/>
      <c r="K26" s="2" t="s">
        <v>118</v>
      </c>
      <c r="L26" s="2" t="s">
        <v>29</v>
      </c>
      <c r="M26" s="2">
        <v>1600000</v>
      </c>
      <c r="N26" s="15"/>
      <c r="O26" s="7">
        <f t="shared" si="3"/>
        <v>800000</v>
      </c>
      <c r="P26" s="2"/>
      <c r="Q26" s="2"/>
      <c r="R26" s="2"/>
    </row>
    <row r="27" spans="1:18">
      <c r="A27" s="34"/>
      <c r="B27" s="34"/>
      <c r="C27" s="28"/>
      <c r="D27" s="36"/>
      <c r="E27" s="32"/>
      <c r="F27" s="33"/>
      <c r="G27" s="33"/>
      <c r="H27" s="2"/>
      <c r="I27" s="40" t="s">
        <v>189</v>
      </c>
      <c r="J27" s="2"/>
      <c r="K27" s="2"/>
      <c r="L27" s="2"/>
      <c r="M27" s="2"/>
      <c r="N27" s="16">
        <f t="shared" ref="N27:N31" si="6">P27*R27</f>
        <v>144510</v>
      </c>
      <c r="O27" s="7"/>
      <c r="P27" s="2">
        <v>14451</v>
      </c>
      <c r="Q27" s="2"/>
      <c r="R27" s="2">
        <v>10</v>
      </c>
    </row>
    <row r="28" spans="1:18">
      <c r="A28" s="34"/>
      <c r="B28" s="34"/>
      <c r="C28" s="28"/>
      <c r="D28" s="36"/>
      <c r="E28" s="32"/>
      <c r="F28" s="33"/>
      <c r="G28" s="33"/>
      <c r="H28" s="2"/>
      <c r="I28" s="41" t="s">
        <v>190</v>
      </c>
      <c r="J28" s="2"/>
      <c r="K28" s="2"/>
      <c r="L28" s="2"/>
      <c r="M28" s="2"/>
      <c r="N28" s="16">
        <f t="shared" si="6"/>
        <v>40890</v>
      </c>
      <c r="O28" s="7"/>
      <c r="P28" s="2">
        <v>1363</v>
      </c>
      <c r="Q28" s="2"/>
      <c r="R28" s="2">
        <v>30</v>
      </c>
    </row>
    <row r="29" spans="1:18">
      <c r="A29" s="34"/>
      <c r="B29" s="34"/>
      <c r="C29" s="28"/>
      <c r="D29" s="36"/>
      <c r="E29" s="32"/>
      <c r="F29" s="33"/>
      <c r="G29" s="33"/>
      <c r="H29" s="2"/>
      <c r="I29" s="41" t="s">
        <v>156</v>
      </c>
      <c r="J29" s="2"/>
      <c r="K29" s="2"/>
      <c r="L29" s="2"/>
      <c r="M29" s="2"/>
      <c r="N29" s="16">
        <f t="shared" si="6"/>
        <v>140200</v>
      </c>
      <c r="O29" s="7"/>
      <c r="P29" s="2">
        <v>14020</v>
      </c>
      <c r="Q29" s="2"/>
      <c r="R29" s="2">
        <v>10</v>
      </c>
    </row>
    <row r="30" spans="1:18">
      <c r="A30" s="34"/>
      <c r="B30" s="34"/>
      <c r="C30" s="28"/>
      <c r="D30" s="36"/>
      <c r="E30" s="32"/>
      <c r="F30" s="33"/>
      <c r="G30" s="33"/>
      <c r="H30" s="2"/>
      <c r="I30" s="41" t="s">
        <v>157</v>
      </c>
      <c r="J30" s="2"/>
      <c r="K30" s="2"/>
      <c r="L30" s="2"/>
      <c r="M30" s="2"/>
      <c r="N30" s="16">
        <f t="shared" si="6"/>
        <v>140200</v>
      </c>
      <c r="O30" s="7"/>
      <c r="P30" s="2">
        <v>14020</v>
      </c>
      <c r="Q30" s="2"/>
      <c r="R30" s="2">
        <v>10</v>
      </c>
    </row>
    <row r="31" spans="1:18">
      <c r="A31" s="34"/>
      <c r="B31" s="34"/>
      <c r="C31" s="21"/>
      <c r="D31" s="23"/>
      <c r="E31" s="25"/>
      <c r="F31" s="27"/>
      <c r="G31" s="27"/>
      <c r="H31" s="2"/>
      <c r="I31" s="41" t="s">
        <v>158</v>
      </c>
      <c r="J31" s="2"/>
      <c r="K31" s="2"/>
      <c r="L31" s="2"/>
      <c r="M31" s="2"/>
      <c r="N31" s="16">
        <f t="shared" si="6"/>
        <v>130860</v>
      </c>
      <c r="O31" s="7"/>
      <c r="P31" s="2">
        <v>13086</v>
      </c>
      <c r="Q31" s="2"/>
      <c r="R31" s="2">
        <v>10</v>
      </c>
    </row>
    <row r="32" spans="1:18">
      <c r="A32" s="34"/>
      <c r="B32" s="34"/>
      <c r="C32" s="20" t="s">
        <v>21</v>
      </c>
      <c r="D32" s="22">
        <v>4</v>
      </c>
      <c r="E32" s="24" t="s">
        <v>26</v>
      </c>
      <c r="F32" s="26">
        <v>800000</v>
      </c>
      <c r="G32" s="26">
        <f t="shared" si="2"/>
        <v>3200000</v>
      </c>
      <c r="H32" s="2" t="s">
        <v>28</v>
      </c>
      <c r="I32" s="2" t="s">
        <v>121</v>
      </c>
      <c r="J32" s="2"/>
      <c r="K32" s="2" t="s">
        <v>30</v>
      </c>
      <c r="L32" s="2" t="s">
        <v>31</v>
      </c>
      <c r="M32" s="2">
        <v>3200000</v>
      </c>
      <c r="N32" s="15"/>
      <c r="O32" s="7">
        <f t="shared" si="3"/>
        <v>1600000</v>
      </c>
      <c r="P32" s="2"/>
      <c r="Q32" s="2"/>
      <c r="R32" s="2"/>
    </row>
    <row r="33" spans="1:18">
      <c r="A33" s="34"/>
      <c r="B33" s="34"/>
      <c r="C33" s="28"/>
      <c r="D33" s="36"/>
      <c r="E33" s="32"/>
      <c r="F33" s="33"/>
      <c r="G33" s="33"/>
      <c r="H33" s="2"/>
      <c r="I33" s="37" t="s">
        <v>175</v>
      </c>
      <c r="J33" s="2"/>
      <c r="K33" s="2"/>
      <c r="L33" s="38">
        <v>3</v>
      </c>
      <c r="M33" s="2"/>
      <c r="N33" s="16">
        <f t="shared" ref="N33:N38" si="7">P33*R33</f>
        <v>65730</v>
      </c>
      <c r="O33" s="7"/>
      <c r="P33" s="2">
        <v>21910</v>
      </c>
      <c r="Q33" s="2"/>
      <c r="R33" s="2">
        <v>3</v>
      </c>
    </row>
    <row r="34" spans="1:18">
      <c r="A34" s="34"/>
      <c r="B34" s="34"/>
      <c r="C34" s="28"/>
      <c r="D34" s="36"/>
      <c r="E34" s="32"/>
      <c r="F34" s="33"/>
      <c r="G34" s="33"/>
      <c r="H34" s="2"/>
      <c r="I34" s="37" t="s">
        <v>176</v>
      </c>
      <c r="J34" s="2"/>
      <c r="K34" s="2"/>
      <c r="L34" s="39">
        <v>3</v>
      </c>
      <c r="M34" s="2"/>
      <c r="N34" s="16">
        <f t="shared" si="7"/>
        <v>194223</v>
      </c>
      <c r="O34" s="7"/>
      <c r="P34" s="2">
        <v>64741</v>
      </c>
      <c r="Q34" s="2"/>
      <c r="R34" s="2">
        <v>3</v>
      </c>
    </row>
    <row r="35" spans="1:18">
      <c r="A35" s="34"/>
      <c r="B35" s="34"/>
      <c r="C35" s="28"/>
      <c r="D35" s="36"/>
      <c r="E35" s="32"/>
      <c r="F35" s="33"/>
      <c r="G35" s="33"/>
      <c r="H35" s="2"/>
      <c r="I35" s="37" t="s">
        <v>177</v>
      </c>
      <c r="J35" s="2"/>
      <c r="K35" s="2"/>
      <c r="L35" s="39">
        <v>3</v>
      </c>
      <c r="M35" s="2"/>
      <c r="N35" s="16">
        <f t="shared" si="7"/>
        <v>65616</v>
      </c>
      <c r="O35" s="7"/>
      <c r="P35" s="2">
        <v>21872</v>
      </c>
      <c r="Q35" s="2"/>
      <c r="R35" s="2">
        <v>3</v>
      </c>
    </row>
    <row r="36" spans="1:18">
      <c r="A36" s="34"/>
      <c r="B36" s="34"/>
      <c r="C36" s="28"/>
      <c r="D36" s="36"/>
      <c r="E36" s="32"/>
      <c r="F36" s="33"/>
      <c r="G36" s="33"/>
      <c r="H36" s="2"/>
      <c r="I36" s="37" t="s">
        <v>191</v>
      </c>
      <c r="J36" s="2"/>
      <c r="K36" s="2"/>
      <c r="L36" s="39">
        <v>3</v>
      </c>
      <c r="M36" s="2"/>
      <c r="N36" s="16">
        <f t="shared" si="7"/>
        <v>88842</v>
      </c>
      <c r="O36" s="7"/>
      <c r="P36" s="2">
        <v>29614</v>
      </c>
      <c r="Q36" s="2"/>
      <c r="R36" s="2">
        <v>3</v>
      </c>
    </row>
    <row r="37" spans="1:18">
      <c r="A37" s="34"/>
      <c r="B37" s="34"/>
      <c r="C37" s="28"/>
      <c r="D37" s="36"/>
      <c r="E37" s="32"/>
      <c r="F37" s="33"/>
      <c r="G37" s="33"/>
      <c r="H37" s="2"/>
      <c r="I37" s="37" t="s">
        <v>178</v>
      </c>
      <c r="J37" s="2"/>
      <c r="K37" s="2"/>
      <c r="L37" s="39">
        <v>3</v>
      </c>
      <c r="M37" s="2"/>
      <c r="N37" s="16">
        <f t="shared" si="7"/>
        <v>39222</v>
      </c>
      <c r="O37" s="7"/>
      <c r="P37" s="2">
        <v>13074</v>
      </c>
      <c r="Q37" s="2"/>
      <c r="R37" s="2">
        <v>3</v>
      </c>
    </row>
    <row r="38" spans="1:18">
      <c r="A38" s="34"/>
      <c r="B38" s="34"/>
      <c r="C38" s="21"/>
      <c r="D38" s="23"/>
      <c r="E38" s="25"/>
      <c r="F38" s="27"/>
      <c r="G38" s="27"/>
      <c r="H38" s="2"/>
      <c r="I38" s="37" t="s">
        <v>179</v>
      </c>
      <c r="J38" s="2"/>
      <c r="K38" s="2"/>
      <c r="L38" s="39">
        <v>3</v>
      </c>
      <c r="M38" s="2"/>
      <c r="N38" s="16">
        <f t="shared" si="7"/>
        <v>88854</v>
      </c>
      <c r="O38" s="7"/>
      <c r="P38" s="2">
        <v>29618</v>
      </c>
      <c r="Q38" s="2"/>
      <c r="R38" s="2">
        <v>3</v>
      </c>
    </row>
    <row r="39" spans="1:18">
      <c r="A39" s="34"/>
      <c r="B39" s="34"/>
      <c r="C39" s="20" t="s">
        <v>22</v>
      </c>
      <c r="D39" s="22">
        <v>1</v>
      </c>
      <c r="E39" s="24" t="s">
        <v>26</v>
      </c>
      <c r="F39" s="26">
        <v>800000</v>
      </c>
      <c r="G39" s="26">
        <f t="shared" si="2"/>
        <v>800000</v>
      </c>
      <c r="H39" s="2" t="s">
        <v>28</v>
      </c>
      <c r="I39" s="2" t="s">
        <v>121</v>
      </c>
      <c r="J39" s="2"/>
      <c r="K39" s="2" t="s">
        <v>120</v>
      </c>
      <c r="L39" s="2" t="s">
        <v>32</v>
      </c>
      <c r="M39" s="2">
        <v>800000</v>
      </c>
      <c r="N39" s="15"/>
      <c r="O39" s="7">
        <f t="shared" si="3"/>
        <v>400000</v>
      </c>
      <c r="P39" s="2"/>
      <c r="Q39" s="2"/>
      <c r="R39" s="2"/>
    </row>
    <row r="40" spans="1:18">
      <c r="A40" s="34"/>
      <c r="B40" s="34"/>
      <c r="C40" s="28"/>
      <c r="D40" s="36"/>
      <c r="E40" s="32"/>
      <c r="F40" s="33"/>
      <c r="G40" s="33"/>
      <c r="H40" s="2"/>
      <c r="I40" s="37" t="s">
        <v>180</v>
      </c>
      <c r="J40" s="2"/>
      <c r="K40" s="2"/>
      <c r="L40" s="39">
        <v>3</v>
      </c>
      <c r="M40" s="2"/>
      <c r="N40" s="16">
        <f t="shared" ref="N40:N43" si="8">P40*R40</f>
        <v>11613</v>
      </c>
      <c r="O40" s="7"/>
      <c r="P40" s="2">
        <v>3871</v>
      </c>
      <c r="Q40" s="2"/>
      <c r="R40" s="2">
        <v>3</v>
      </c>
    </row>
    <row r="41" spans="1:18">
      <c r="A41" s="34"/>
      <c r="B41" s="34"/>
      <c r="C41" s="28"/>
      <c r="D41" s="36"/>
      <c r="E41" s="32"/>
      <c r="F41" s="33"/>
      <c r="G41" s="33"/>
      <c r="H41" s="2"/>
      <c r="I41" s="37" t="s">
        <v>181</v>
      </c>
      <c r="J41" s="2"/>
      <c r="K41" s="2"/>
      <c r="L41" s="39">
        <v>3</v>
      </c>
      <c r="M41" s="2"/>
      <c r="N41" s="16">
        <f t="shared" si="8"/>
        <v>14064</v>
      </c>
      <c r="O41" s="7"/>
      <c r="P41" s="2">
        <v>4688</v>
      </c>
      <c r="Q41" s="2"/>
      <c r="R41" s="2">
        <v>3</v>
      </c>
    </row>
    <row r="42" spans="1:18">
      <c r="A42" s="34"/>
      <c r="B42" s="34"/>
      <c r="C42" s="28"/>
      <c r="D42" s="36"/>
      <c r="E42" s="32"/>
      <c r="F42" s="33"/>
      <c r="G42" s="33"/>
      <c r="H42" s="2"/>
      <c r="I42" s="37" t="s">
        <v>182</v>
      </c>
      <c r="J42" s="2"/>
      <c r="K42" s="2"/>
      <c r="L42" s="39">
        <v>10</v>
      </c>
      <c r="M42" s="2"/>
      <c r="N42" s="16">
        <f t="shared" si="8"/>
        <v>48950</v>
      </c>
      <c r="O42" s="7"/>
      <c r="P42" s="2">
        <v>979</v>
      </c>
      <c r="Q42" s="2"/>
      <c r="R42" s="2">
        <v>50</v>
      </c>
    </row>
    <row r="43" spans="1:18">
      <c r="A43" s="34"/>
      <c r="B43" s="34"/>
      <c r="C43" s="21"/>
      <c r="D43" s="23"/>
      <c r="E43" s="25"/>
      <c r="F43" s="27"/>
      <c r="G43" s="27"/>
      <c r="H43" s="2"/>
      <c r="I43" s="37" t="s">
        <v>183</v>
      </c>
      <c r="J43" s="2"/>
      <c r="K43" s="2"/>
      <c r="L43" s="39">
        <v>5</v>
      </c>
      <c r="M43" s="2"/>
      <c r="N43" s="16">
        <f t="shared" si="8"/>
        <v>48950</v>
      </c>
      <c r="O43" s="7"/>
      <c r="P43" s="2">
        <v>979</v>
      </c>
      <c r="Q43" s="2"/>
      <c r="R43" s="2">
        <v>50</v>
      </c>
    </row>
    <row r="44" spans="1:18" ht="33">
      <c r="A44" s="34"/>
      <c r="B44" s="34"/>
      <c r="C44" s="20" t="s">
        <v>23</v>
      </c>
      <c r="D44" s="22">
        <v>1</v>
      </c>
      <c r="E44" s="24" t="s">
        <v>26</v>
      </c>
      <c r="F44" s="26">
        <v>2600000</v>
      </c>
      <c r="G44" s="26">
        <f t="shared" si="2"/>
        <v>2600000</v>
      </c>
      <c r="H44" s="2" t="s">
        <v>28</v>
      </c>
      <c r="I44" s="2" t="s">
        <v>123</v>
      </c>
      <c r="J44" s="2"/>
      <c r="K44" s="2" t="s">
        <v>122</v>
      </c>
      <c r="L44" s="2" t="s">
        <v>33</v>
      </c>
      <c r="M44" s="2">
        <v>2600000</v>
      </c>
      <c r="N44" s="15"/>
      <c r="O44" s="7">
        <f t="shared" si="3"/>
        <v>1300000</v>
      </c>
      <c r="P44" s="2"/>
      <c r="Q44" s="2"/>
      <c r="R44" s="2">
        <v>1</v>
      </c>
    </row>
    <row r="45" spans="1:18">
      <c r="A45" s="34"/>
      <c r="B45" s="34"/>
      <c r="C45" s="28"/>
      <c r="D45" s="36"/>
      <c r="E45" s="32"/>
      <c r="F45" s="33"/>
      <c r="G45" s="33"/>
      <c r="H45" s="2"/>
      <c r="I45" s="2" t="s">
        <v>184</v>
      </c>
      <c r="J45" s="2"/>
      <c r="K45" s="2"/>
      <c r="L45" s="2"/>
      <c r="M45" s="2"/>
      <c r="N45" s="16">
        <f t="shared" ref="N45:N46" si="9">P45*R45</f>
        <v>246360</v>
      </c>
      <c r="O45" s="7"/>
      <c r="P45" s="2">
        <v>24636</v>
      </c>
      <c r="Q45" s="2"/>
      <c r="R45" s="2">
        <v>10</v>
      </c>
    </row>
    <row r="46" spans="1:18">
      <c r="A46" s="34"/>
      <c r="B46" s="34"/>
      <c r="C46" s="21"/>
      <c r="D46" s="23"/>
      <c r="E46" s="25"/>
      <c r="F46" s="27"/>
      <c r="G46" s="27"/>
      <c r="H46" s="2"/>
      <c r="I46" s="2" t="s">
        <v>185</v>
      </c>
      <c r="J46" s="2"/>
      <c r="K46" s="2"/>
      <c r="L46" s="2"/>
      <c r="M46" s="2"/>
      <c r="N46" s="16">
        <f t="shared" si="9"/>
        <v>64980</v>
      </c>
      <c r="O46" s="7"/>
      <c r="P46" s="2">
        <v>2166</v>
      </c>
      <c r="Q46" s="2"/>
      <c r="R46" s="2">
        <v>30</v>
      </c>
    </row>
    <row r="47" spans="1:18">
      <c r="A47" s="34"/>
      <c r="B47" s="34"/>
      <c r="C47" s="20" t="s">
        <v>24</v>
      </c>
      <c r="D47" s="22">
        <v>1</v>
      </c>
      <c r="E47" s="24" t="s">
        <v>26</v>
      </c>
      <c r="F47" s="26">
        <v>300000</v>
      </c>
      <c r="G47" s="26">
        <f t="shared" si="2"/>
        <v>300000</v>
      </c>
      <c r="H47" s="2" t="s">
        <v>43</v>
      </c>
      <c r="I47" s="2" t="s">
        <v>139</v>
      </c>
      <c r="J47" s="5">
        <v>90000</v>
      </c>
      <c r="K47" s="2" t="s">
        <v>100</v>
      </c>
      <c r="L47" s="2" t="s">
        <v>116</v>
      </c>
      <c r="M47" s="2">
        <f>R47*J47</f>
        <v>90000</v>
      </c>
      <c r="N47" s="16">
        <f t="shared" ref="N47" si="10">P47*R47</f>
        <v>63000</v>
      </c>
      <c r="O47" s="7">
        <f>M47</f>
        <v>90000</v>
      </c>
      <c r="P47" s="2">
        <v>63000</v>
      </c>
      <c r="Q47" s="2"/>
      <c r="R47" s="2">
        <v>1</v>
      </c>
    </row>
    <row r="48" spans="1:18">
      <c r="A48" s="34"/>
      <c r="B48" s="34"/>
      <c r="C48" s="21"/>
      <c r="D48" s="23"/>
      <c r="E48" s="25"/>
      <c r="F48" s="27"/>
      <c r="G48" s="27"/>
      <c r="H48" s="2" t="s">
        <v>115</v>
      </c>
      <c r="I48" s="2" t="s">
        <v>127</v>
      </c>
      <c r="J48" s="5">
        <v>7000</v>
      </c>
      <c r="K48" s="2" t="s">
        <v>126</v>
      </c>
      <c r="L48" s="2" t="s">
        <v>34</v>
      </c>
      <c r="M48" s="2">
        <f>R48*J48</f>
        <v>210000</v>
      </c>
      <c r="N48" s="15">
        <f>M48</f>
        <v>210000</v>
      </c>
      <c r="O48" s="7">
        <f t="shared" si="3"/>
        <v>105000</v>
      </c>
      <c r="P48" s="2"/>
      <c r="Q48" s="2"/>
      <c r="R48" s="2">
        <v>30</v>
      </c>
    </row>
    <row r="49" spans="1:18" ht="33">
      <c r="A49" s="34"/>
      <c r="B49" s="34"/>
      <c r="C49" s="19" t="s">
        <v>25</v>
      </c>
      <c r="D49" s="17">
        <v>1</v>
      </c>
      <c r="E49" s="18" t="s">
        <v>26</v>
      </c>
      <c r="F49" s="12">
        <v>700000</v>
      </c>
      <c r="G49" s="12">
        <f>F49*D49</f>
        <v>700000</v>
      </c>
      <c r="H49" s="2" t="s">
        <v>28</v>
      </c>
      <c r="I49" s="2" t="s">
        <v>125</v>
      </c>
      <c r="J49" s="2"/>
      <c r="K49" s="2" t="s">
        <v>124</v>
      </c>
      <c r="L49" s="2" t="s">
        <v>35</v>
      </c>
      <c r="M49" s="2">
        <v>700000</v>
      </c>
      <c r="N49" s="15">
        <f>M49</f>
        <v>700000</v>
      </c>
      <c r="O49" s="7">
        <f t="shared" si="3"/>
        <v>350000</v>
      </c>
      <c r="P49" s="2"/>
      <c r="Q49" s="2"/>
      <c r="R49" s="2"/>
    </row>
    <row r="50" spans="1:18">
      <c r="A50" s="24">
        <v>3</v>
      </c>
      <c r="B50" s="24" t="s">
        <v>48</v>
      </c>
      <c r="C50" s="20" t="s">
        <v>36</v>
      </c>
      <c r="D50" s="29">
        <v>4</v>
      </c>
      <c r="E50" s="24" t="s">
        <v>26</v>
      </c>
      <c r="F50" s="26">
        <v>570000</v>
      </c>
      <c r="G50" s="26">
        <f t="shared" si="2"/>
        <v>2280000</v>
      </c>
      <c r="H50" s="2" t="s">
        <v>101</v>
      </c>
      <c r="I50" s="2" t="s">
        <v>102</v>
      </c>
      <c r="J50" s="5">
        <v>434000</v>
      </c>
      <c r="K50" s="2" t="s">
        <v>71</v>
      </c>
      <c r="L50" s="2" t="s">
        <v>72</v>
      </c>
      <c r="M50" s="2">
        <f t="shared" ref="M50:M74" si="11">J50*R50</f>
        <v>1736000</v>
      </c>
      <c r="N50" s="16">
        <f t="shared" ref="N50" si="12">P50*R50</f>
        <v>0</v>
      </c>
      <c r="O50" s="7">
        <f t="shared" ref="O50:O83" si="13">M50</f>
        <v>1736000</v>
      </c>
      <c r="P50" s="2"/>
      <c r="Q50" s="2"/>
      <c r="R50" s="2">
        <v>4</v>
      </c>
    </row>
    <row r="51" spans="1:18">
      <c r="A51" s="32"/>
      <c r="B51" s="32"/>
      <c r="C51" s="28"/>
      <c r="D51" s="30"/>
      <c r="E51" s="32"/>
      <c r="F51" s="33"/>
      <c r="G51" s="33"/>
      <c r="H51" s="2" t="s">
        <v>66</v>
      </c>
      <c r="I51" s="2" t="s">
        <v>140</v>
      </c>
      <c r="J51" s="5">
        <v>70000</v>
      </c>
      <c r="K51" s="2" t="s">
        <v>70</v>
      </c>
      <c r="L51" s="2" t="s">
        <v>72</v>
      </c>
      <c r="M51" s="2">
        <f t="shared" si="11"/>
        <v>280000</v>
      </c>
      <c r="N51" s="16">
        <f t="shared" ref="N51:N52" si="14">P51*R51</f>
        <v>216000</v>
      </c>
      <c r="O51" s="7">
        <f t="shared" si="13"/>
        <v>280000</v>
      </c>
      <c r="P51" s="2">
        <v>54000</v>
      </c>
      <c r="Q51" s="2"/>
      <c r="R51" s="2">
        <v>4</v>
      </c>
    </row>
    <row r="52" spans="1:18">
      <c r="A52" s="32"/>
      <c r="B52" s="32"/>
      <c r="C52" s="28"/>
      <c r="D52" s="30"/>
      <c r="E52" s="32"/>
      <c r="F52" s="33"/>
      <c r="G52" s="33"/>
      <c r="H52" s="2" t="s">
        <v>103</v>
      </c>
      <c r="I52" s="2" t="s">
        <v>141</v>
      </c>
      <c r="J52" s="5">
        <v>56000</v>
      </c>
      <c r="K52" s="2" t="s">
        <v>69</v>
      </c>
      <c r="L52" s="2" t="s">
        <v>72</v>
      </c>
      <c r="M52" s="2">
        <f t="shared" si="11"/>
        <v>224000</v>
      </c>
      <c r="N52" s="16">
        <f t="shared" si="14"/>
        <v>18800</v>
      </c>
      <c r="O52" s="7">
        <f t="shared" si="13"/>
        <v>224000</v>
      </c>
      <c r="P52" s="2">
        <v>4700</v>
      </c>
      <c r="Q52" s="2"/>
      <c r="R52" s="2">
        <v>4</v>
      </c>
    </row>
    <row r="53" spans="1:18">
      <c r="A53" s="32"/>
      <c r="B53" s="32"/>
      <c r="C53" s="21"/>
      <c r="D53" s="31"/>
      <c r="E53" s="25"/>
      <c r="F53" s="27"/>
      <c r="G53" s="27"/>
      <c r="H53" s="2" t="s">
        <v>131</v>
      </c>
      <c r="I53" s="2" t="s">
        <v>145</v>
      </c>
      <c r="J53" s="5">
        <v>10000</v>
      </c>
      <c r="K53" s="2" t="s">
        <v>68</v>
      </c>
      <c r="L53" s="2" t="s">
        <v>73</v>
      </c>
      <c r="M53" s="2">
        <f t="shared" si="11"/>
        <v>40000</v>
      </c>
      <c r="N53" s="15">
        <f t="shared" ref="N53" si="15">M53</f>
        <v>40000</v>
      </c>
      <c r="O53" s="7">
        <f t="shared" si="13"/>
        <v>40000</v>
      </c>
      <c r="P53" s="2"/>
      <c r="Q53" s="2"/>
      <c r="R53" s="2">
        <v>4</v>
      </c>
    </row>
    <row r="54" spans="1:18">
      <c r="A54" s="32"/>
      <c r="B54" s="32"/>
      <c r="C54" s="20" t="s">
        <v>37</v>
      </c>
      <c r="D54" s="29">
        <v>1</v>
      </c>
      <c r="E54" s="24" t="s">
        <v>26</v>
      </c>
      <c r="F54" s="26">
        <v>300000</v>
      </c>
      <c r="G54" s="26">
        <f t="shared" si="2"/>
        <v>300000</v>
      </c>
      <c r="H54" s="2" t="s">
        <v>76</v>
      </c>
      <c r="I54" s="2" t="s">
        <v>74</v>
      </c>
      <c r="J54" s="5">
        <v>135000</v>
      </c>
      <c r="K54" s="2" t="s">
        <v>77</v>
      </c>
      <c r="L54" s="2" t="s">
        <v>65</v>
      </c>
      <c r="M54" s="2">
        <f t="shared" si="11"/>
        <v>135000</v>
      </c>
      <c r="N54" s="16">
        <f t="shared" ref="N54" si="16">P54*R54</f>
        <v>86553</v>
      </c>
      <c r="O54" s="7">
        <f t="shared" si="13"/>
        <v>135000</v>
      </c>
      <c r="P54" s="5">
        <v>86553</v>
      </c>
      <c r="Q54" s="2"/>
      <c r="R54" s="2">
        <v>1</v>
      </c>
    </row>
    <row r="55" spans="1:18">
      <c r="A55" s="32"/>
      <c r="B55" s="32"/>
      <c r="C55" s="28"/>
      <c r="D55" s="30"/>
      <c r="E55" s="32"/>
      <c r="F55" s="33"/>
      <c r="G55" s="33"/>
      <c r="H55" s="2" t="s">
        <v>76</v>
      </c>
      <c r="I55" s="2" t="s">
        <v>132</v>
      </c>
      <c r="J55" s="5">
        <v>30800</v>
      </c>
      <c r="K55" s="2" t="s">
        <v>135</v>
      </c>
      <c r="L55" s="2" t="s">
        <v>78</v>
      </c>
      <c r="M55" s="2">
        <f t="shared" si="11"/>
        <v>30800</v>
      </c>
      <c r="N55" s="16">
        <f t="shared" ref="N55:N58" si="17">P55*R55</f>
        <v>25392.54</v>
      </c>
      <c r="O55" s="7">
        <f t="shared" si="13"/>
        <v>30800</v>
      </c>
      <c r="P55" s="2">
        <v>25392.54</v>
      </c>
      <c r="Q55" s="2"/>
      <c r="R55" s="2">
        <v>1</v>
      </c>
    </row>
    <row r="56" spans="1:18">
      <c r="A56" s="32"/>
      <c r="B56" s="32"/>
      <c r="C56" s="28"/>
      <c r="D56" s="30"/>
      <c r="E56" s="32"/>
      <c r="F56" s="33"/>
      <c r="G56" s="33"/>
      <c r="H56" s="2" t="s">
        <v>76</v>
      </c>
      <c r="I56" s="2" t="s">
        <v>133</v>
      </c>
      <c r="J56" s="5">
        <v>26400</v>
      </c>
      <c r="K56" s="2" t="s">
        <v>136</v>
      </c>
      <c r="L56" s="2" t="s">
        <v>78</v>
      </c>
      <c r="M56" s="2">
        <f t="shared" si="11"/>
        <v>26400</v>
      </c>
      <c r="N56" s="16">
        <f t="shared" si="17"/>
        <v>22583.63</v>
      </c>
      <c r="O56" s="7">
        <f t="shared" si="13"/>
        <v>26400</v>
      </c>
      <c r="P56" s="2">
        <v>22583.63</v>
      </c>
      <c r="Q56" s="2"/>
      <c r="R56" s="2">
        <v>1</v>
      </c>
    </row>
    <row r="57" spans="1:18">
      <c r="A57" s="32"/>
      <c r="B57" s="32"/>
      <c r="C57" s="28"/>
      <c r="D57" s="30"/>
      <c r="E57" s="32"/>
      <c r="F57" s="33"/>
      <c r="G57" s="33"/>
      <c r="H57" s="2" t="s">
        <v>76</v>
      </c>
      <c r="I57" s="2" t="s">
        <v>134</v>
      </c>
      <c r="J57" s="5">
        <v>33000</v>
      </c>
      <c r="K57" s="2" t="s">
        <v>137</v>
      </c>
      <c r="L57" s="2" t="s">
        <v>78</v>
      </c>
      <c r="M57" s="2">
        <f t="shared" si="11"/>
        <v>33000</v>
      </c>
      <c r="N57" s="16">
        <f t="shared" ref="N57" si="18">P57*R57</f>
        <v>27103.81</v>
      </c>
      <c r="O57" s="7">
        <f t="shared" si="13"/>
        <v>33000</v>
      </c>
      <c r="P57" s="2">
        <v>27103.81</v>
      </c>
      <c r="Q57" s="2"/>
      <c r="R57" s="2">
        <v>1</v>
      </c>
    </row>
    <row r="58" spans="1:18">
      <c r="A58" s="32"/>
      <c r="B58" s="32"/>
      <c r="C58" s="21"/>
      <c r="D58" s="31"/>
      <c r="E58" s="25"/>
      <c r="F58" s="27"/>
      <c r="G58" s="27"/>
      <c r="H58" s="2" t="s">
        <v>76</v>
      </c>
      <c r="I58" s="2" t="s">
        <v>75</v>
      </c>
      <c r="J58" s="5">
        <v>74800</v>
      </c>
      <c r="K58" s="2" t="s">
        <v>138</v>
      </c>
      <c r="L58" s="2" t="s">
        <v>78</v>
      </c>
      <c r="M58" s="2">
        <f t="shared" si="11"/>
        <v>74800</v>
      </c>
      <c r="N58" s="16">
        <f t="shared" si="17"/>
        <v>62716.46</v>
      </c>
      <c r="O58" s="7">
        <f t="shared" si="13"/>
        <v>74800</v>
      </c>
      <c r="P58" s="2">
        <v>62716.46</v>
      </c>
      <c r="Q58" s="2"/>
      <c r="R58" s="2">
        <v>1</v>
      </c>
    </row>
    <row r="59" spans="1:18">
      <c r="A59" s="32"/>
      <c r="B59" s="32"/>
      <c r="C59" s="20" t="s">
        <v>38</v>
      </c>
      <c r="D59" s="29">
        <v>1</v>
      </c>
      <c r="E59" s="24" t="s">
        <v>26</v>
      </c>
      <c r="F59" s="26">
        <v>1100000</v>
      </c>
      <c r="G59" s="26">
        <f t="shared" si="2"/>
        <v>1100000</v>
      </c>
      <c r="H59" s="2" t="s">
        <v>84</v>
      </c>
      <c r="I59" s="2" t="s">
        <v>143</v>
      </c>
      <c r="J59" s="2">
        <v>634000</v>
      </c>
      <c r="K59" s="2" t="s">
        <v>83</v>
      </c>
      <c r="L59" s="2" t="s">
        <v>64</v>
      </c>
      <c r="M59" s="2">
        <f t="shared" si="11"/>
        <v>634000</v>
      </c>
      <c r="N59" s="15">
        <f t="shared" ref="N59" si="19">M59</f>
        <v>634000</v>
      </c>
      <c r="O59" s="7">
        <f t="shared" si="13"/>
        <v>634000</v>
      </c>
      <c r="P59" s="2"/>
      <c r="Q59" s="2"/>
      <c r="R59" s="2">
        <v>1</v>
      </c>
    </row>
    <row r="60" spans="1:18">
      <c r="A60" s="32"/>
      <c r="B60" s="32"/>
      <c r="C60" s="28"/>
      <c r="D60" s="30"/>
      <c r="E60" s="32"/>
      <c r="F60" s="33"/>
      <c r="G60" s="33"/>
      <c r="H60" s="2" t="s">
        <v>144</v>
      </c>
      <c r="I60" s="2" t="s">
        <v>104</v>
      </c>
      <c r="J60" s="2">
        <v>76000</v>
      </c>
      <c r="K60" s="2" t="s">
        <v>82</v>
      </c>
      <c r="L60" s="2" t="s">
        <v>64</v>
      </c>
      <c r="M60" s="2">
        <f t="shared" si="11"/>
        <v>76000</v>
      </c>
      <c r="N60" s="16">
        <f t="shared" ref="N60" si="20">P60*R60</f>
        <v>0</v>
      </c>
      <c r="O60" s="7">
        <f t="shared" si="13"/>
        <v>76000</v>
      </c>
      <c r="P60" s="2"/>
      <c r="Q60" s="2"/>
      <c r="R60" s="2">
        <v>1</v>
      </c>
    </row>
    <row r="61" spans="1:18">
      <c r="A61" s="32"/>
      <c r="B61" s="32"/>
      <c r="C61" s="21"/>
      <c r="D61" s="31"/>
      <c r="E61" s="25"/>
      <c r="F61" s="27"/>
      <c r="G61" s="27"/>
      <c r="H61" s="2" t="s">
        <v>80</v>
      </c>
      <c r="I61" s="2" t="s">
        <v>79</v>
      </c>
      <c r="J61" s="2">
        <v>390000</v>
      </c>
      <c r="K61" s="2" t="s">
        <v>68</v>
      </c>
      <c r="L61" s="2" t="s">
        <v>64</v>
      </c>
      <c r="M61" s="2">
        <f t="shared" si="11"/>
        <v>390000</v>
      </c>
      <c r="N61" s="15">
        <f t="shared" ref="N61" si="21">M61</f>
        <v>390000</v>
      </c>
      <c r="O61" s="7">
        <f t="shared" si="13"/>
        <v>390000</v>
      </c>
      <c r="P61" s="2"/>
      <c r="Q61" s="2"/>
      <c r="R61" s="2">
        <v>1</v>
      </c>
    </row>
    <row r="62" spans="1:18">
      <c r="A62" s="32"/>
      <c r="B62" s="32"/>
      <c r="C62" s="20" t="s">
        <v>39</v>
      </c>
      <c r="D62" s="29">
        <v>1</v>
      </c>
      <c r="E62" s="24" t="s">
        <v>26</v>
      </c>
      <c r="F62" s="26">
        <v>600000</v>
      </c>
      <c r="G62" s="26">
        <f t="shared" si="2"/>
        <v>600000</v>
      </c>
      <c r="H62" s="2" t="s">
        <v>84</v>
      </c>
      <c r="I62" s="2" t="s">
        <v>142</v>
      </c>
      <c r="J62" s="2">
        <v>452000</v>
      </c>
      <c r="K62" s="2" t="s">
        <v>83</v>
      </c>
      <c r="L62" s="2" t="s">
        <v>64</v>
      </c>
      <c r="M62" s="2">
        <f t="shared" si="11"/>
        <v>452000</v>
      </c>
      <c r="N62" s="15">
        <f t="shared" ref="N62" si="22">M62</f>
        <v>452000</v>
      </c>
      <c r="O62" s="7">
        <f t="shared" si="13"/>
        <v>452000</v>
      </c>
      <c r="P62" s="2"/>
      <c r="Q62" s="2"/>
      <c r="R62" s="2">
        <v>1</v>
      </c>
    </row>
    <row r="63" spans="1:18">
      <c r="A63" s="32"/>
      <c r="B63" s="32"/>
      <c r="C63" s="28"/>
      <c r="D63" s="30"/>
      <c r="E63" s="32"/>
      <c r="F63" s="33"/>
      <c r="G63" s="33"/>
      <c r="H63" s="2" t="s">
        <v>84</v>
      </c>
      <c r="I63" s="2" t="s">
        <v>149</v>
      </c>
      <c r="J63" s="2">
        <v>132000</v>
      </c>
      <c r="K63" s="2" t="s">
        <v>81</v>
      </c>
      <c r="L63" s="2" t="s">
        <v>64</v>
      </c>
      <c r="M63" s="2">
        <f t="shared" si="11"/>
        <v>132000</v>
      </c>
      <c r="N63" s="15">
        <f t="shared" ref="N63" si="23">M63</f>
        <v>132000</v>
      </c>
      <c r="O63" s="7">
        <f t="shared" si="13"/>
        <v>132000</v>
      </c>
      <c r="P63" s="2"/>
      <c r="Q63" s="2"/>
      <c r="R63" s="2">
        <v>1</v>
      </c>
    </row>
    <row r="64" spans="1:18">
      <c r="A64" s="32"/>
      <c r="B64" s="32"/>
      <c r="C64" s="21"/>
      <c r="D64" s="31"/>
      <c r="E64" s="25"/>
      <c r="F64" s="27"/>
      <c r="G64" s="27"/>
      <c r="H64" s="2" t="s">
        <v>84</v>
      </c>
      <c r="I64" s="2" t="s">
        <v>85</v>
      </c>
      <c r="J64" s="2">
        <v>16000</v>
      </c>
      <c r="K64" s="2" t="s">
        <v>67</v>
      </c>
      <c r="L64" s="2" t="s">
        <v>64</v>
      </c>
      <c r="M64" s="2">
        <f t="shared" si="11"/>
        <v>16000</v>
      </c>
      <c r="N64" s="15">
        <f t="shared" ref="N64" si="24">M64</f>
        <v>16000</v>
      </c>
      <c r="O64" s="7">
        <f t="shared" si="13"/>
        <v>16000</v>
      </c>
      <c r="P64" s="2"/>
      <c r="Q64" s="2"/>
      <c r="R64" s="2">
        <v>1</v>
      </c>
    </row>
    <row r="65" spans="1:18">
      <c r="A65" s="32"/>
      <c r="B65" s="32"/>
      <c r="C65" s="20" t="s">
        <v>40</v>
      </c>
      <c r="D65" s="29">
        <v>1</v>
      </c>
      <c r="E65" s="24" t="s">
        <v>26</v>
      </c>
      <c r="F65" s="26">
        <v>500000</v>
      </c>
      <c r="G65" s="26">
        <f t="shared" si="2"/>
        <v>500000</v>
      </c>
      <c r="H65" s="2" t="s">
        <v>86</v>
      </c>
      <c r="I65" s="2" t="s">
        <v>105</v>
      </c>
      <c r="J65" s="2">
        <v>215000</v>
      </c>
      <c r="K65" s="2" t="s">
        <v>83</v>
      </c>
      <c r="L65" s="2" t="s">
        <v>92</v>
      </c>
      <c r="M65" s="2">
        <f t="shared" si="11"/>
        <v>430000</v>
      </c>
      <c r="N65" s="16">
        <f t="shared" ref="N65:N66" si="25">P65*R65</f>
        <v>10740</v>
      </c>
      <c r="O65" s="7">
        <f t="shared" si="13"/>
        <v>430000</v>
      </c>
      <c r="P65" s="2">
        <v>5370</v>
      </c>
      <c r="Q65" s="2"/>
      <c r="R65" s="2">
        <v>2</v>
      </c>
    </row>
    <row r="66" spans="1:18">
      <c r="A66" s="32"/>
      <c r="B66" s="32"/>
      <c r="C66" s="28"/>
      <c r="D66" s="30"/>
      <c r="E66" s="32"/>
      <c r="F66" s="33"/>
      <c r="G66" s="33"/>
      <c r="H66" s="2" t="s">
        <v>86</v>
      </c>
      <c r="I66" s="2" t="s">
        <v>88</v>
      </c>
      <c r="J66" s="2">
        <v>54000</v>
      </c>
      <c r="K66" s="2" t="s">
        <v>81</v>
      </c>
      <c r="L66" s="2" t="s">
        <v>64</v>
      </c>
      <c r="M66" s="2">
        <f t="shared" si="11"/>
        <v>54000</v>
      </c>
      <c r="N66" s="16">
        <f t="shared" si="25"/>
        <v>0</v>
      </c>
      <c r="O66" s="7">
        <f t="shared" si="13"/>
        <v>54000</v>
      </c>
      <c r="P66" s="2"/>
      <c r="Q66" s="2"/>
      <c r="R66" s="2">
        <v>1</v>
      </c>
    </row>
    <row r="67" spans="1:18">
      <c r="A67" s="32"/>
      <c r="B67" s="32"/>
      <c r="C67" s="21"/>
      <c r="D67" s="31"/>
      <c r="E67" s="25"/>
      <c r="F67" s="27"/>
      <c r="G67" s="27"/>
      <c r="H67" s="2" t="s">
        <v>84</v>
      </c>
      <c r="I67" s="2" t="s">
        <v>87</v>
      </c>
      <c r="J67" s="2">
        <v>16000</v>
      </c>
      <c r="K67" s="2" t="s">
        <v>67</v>
      </c>
      <c r="L67" s="2" t="s">
        <v>64</v>
      </c>
      <c r="M67" s="2">
        <f t="shared" si="11"/>
        <v>16000</v>
      </c>
      <c r="N67" s="15">
        <f t="shared" ref="N67" si="26">M67</f>
        <v>16000</v>
      </c>
      <c r="O67" s="7">
        <f t="shared" si="13"/>
        <v>16000</v>
      </c>
      <c r="P67" s="2"/>
      <c r="Q67" s="2"/>
      <c r="R67" s="2">
        <v>1</v>
      </c>
    </row>
    <row r="68" spans="1:18">
      <c r="A68" s="32"/>
      <c r="B68" s="32"/>
      <c r="C68" s="20" t="s">
        <v>41</v>
      </c>
      <c r="D68" s="29">
        <v>1</v>
      </c>
      <c r="E68" s="24" t="s">
        <v>26</v>
      </c>
      <c r="F68" s="26">
        <v>100000</v>
      </c>
      <c r="G68" s="26">
        <f t="shared" si="2"/>
        <v>100000</v>
      </c>
      <c r="H68" s="2" t="s">
        <v>91</v>
      </c>
      <c r="I68" s="2" t="s">
        <v>148</v>
      </c>
      <c r="J68" s="2">
        <v>30000</v>
      </c>
      <c r="K68" s="2" t="s">
        <v>83</v>
      </c>
      <c r="L68" s="2" t="s">
        <v>92</v>
      </c>
      <c r="M68" s="2">
        <f t="shared" si="11"/>
        <v>60000</v>
      </c>
      <c r="N68" s="16">
        <f t="shared" ref="N68:N70" si="27">P68*R68</f>
        <v>0</v>
      </c>
      <c r="O68" s="7">
        <f t="shared" si="13"/>
        <v>60000</v>
      </c>
      <c r="P68" s="2"/>
      <c r="Q68" s="2"/>
      <c r="R68" s="2">
        <v>2</v>
      </c>
    </row>
    <row r="69" spans="1:18">
      <c r="A69" s="32"/>
      <c r="B69" s="32"/>
      <c r="C69" s="28"/>
      <c r="D69" s="30"/>
      <c r="E69" s="32"/>
      <c r="F69" s="33"/>
      <c r="G69" s="33"/>
      <c r="H69" s="2" t="s">
        <v>89</v>
      </c>
      <c r="I69" s="2" t="s">
        <v>147</v>
      </c>
      <c r="J69" s="2">
        <v>10000</v>
      </c>
      <c r="K69" s="2" t="s">
        <v>82</v>
      </c>
      <c r="L69" s="2" t="s">
        <v>92</v>
      </c>
      <c r="M69" s="2">
        <f t="shared" si="11"/>
        <v>20000</v>
      </c>
      <c r="N69" s="16">
        <f t="shared" si="27"/>
        <v>0</v>
      </c>
      <c r="O69" s="7">
        <f t="shared" si="13"/>
        <v>20000</v>
      </c>
      <c r="P69" s="2"/>
      <c r="Q69" s="2"/>
      <c r="R69" s="2">
        <v>2</v>
      </c>
    </row>
    <row r="70" spans="1:18">
      <c r="A70" s="32"/>
      <c r="B70" s="32"/>
      <c r="C70" s="21"/>
      <c r="D70" s="31"/>
      <c r="E70" s="25"/>
      <c r="F70" s="27"/>
      <c r="G70" s="27"/>
      <c r="H70" s="2" t="s">
        <v>90</v>
      </c>
      <c r="I70" s="2" t="s">
        <v>146</v>
      </c>
      <c r="J70" s="2">
        <v>20000</v>
      </c>
      <c r="K70" s="2" t="s">
        <v>68</v>
      </c>
      <c r="L70" s="2" t="s">
        <v>64</v>
      </c>
      <c r="M70" s="2">
        <f t="shared" si="11"/>
        <v>20000</v>
      </c>
      <c r="N70" s="16">
        <f t="shared" si="27"/>
        <v>0</v>
      </c>
      <c r="O70" s="7">
        <f t="shared" si="13"/>
        <v>20000</v>
      </c>
      <c r="P70" s="2"/>
      <c r="Q70" s="2"/>
      <c r="R70" s="2">
        <v>1</v>
      </c>
    </row>
    <row r="71" spans="1:18" ht="49.5">
      <c r="A71" s="32"/>
      <c r="B71" s="32"/>
      <c r="C71" s="19" t="s">
        <v>42</v>
      </c>
      <c r="D71" s="17">
        <v>5</v>
      </c>
      <c r="E71" s="18" t="s">
        <v>26</v>
      </c>
      <c r="F71" s="12">
        <v>100000</v>
      </c>
      <c r="G71" s="12">
        <f t="shared" si="2"/>
        <v>500000</v>
      </c>
      <c r="H71" s="2" t="s">
        <v>43</v>
      </c>
      <c r="I71" s="2" t="s">
        <v>150</v>
      </c>
      <c r="J71" s="2">
        <v>100000</v>
      </c>
      <c r="K71" s="2" t="s">
        <v>44</v>
      </c>
      <c r="L71" s="2" t="s">
        <v>45</v>
      </c>
      <c r="M71" s="2">
        <f t="shared" si="11"/>
        <v>500000</v>
      </c>
      <c r="N71" s="15">
        <f t="shared" ref="N71:N74" si="28">M71</f>
        <v>500000</v>
      </c>
      <c r="O71" s="7">
        <f t="shared" si="13"/>
        <v>500000</v>
      </c>
      <c r="P71" s="2"/>
      <c r="Q71" s="2"/>
      <c r="R71" s="2">
        <v>5</v>
      </c>
    </row>
    <row r="72" spans="1:18">
      <c r="A72" s="32"/>
      <c r="B72" s="32"/>
      <c r="C72" s="20" t="s">
        <v>46</v>
      </c>
      <c r="D72" s="22">
        <v>1</v>
      </c>
      <c r="E72" s="24" t="s">
        <v>26</v>
      </c>
      <c r="F72" s="26">
        <v>800000</v>
      </c>
      <c r="G72" s="26">
        <f>F72*D72</f>
        <v>800000</v>
      </c>
      <c r="H72" s="2" t="s">
        <v>43</v>
      </c>
      <c r="I72" s="2" t="s">
        <v>95</v>
      </c>
      <c r="J72" s="2">
        <v>100000</v>
      </c>
      <c r="K72" s="2" t="s">
        <v>44</v>
      </c>
      <c r="L72" s="2" t="s">
        <v>99</v>
      </c>
      <c r="M72" s="2">
        <f t="shared" si="11"/>
        <v>200000</v>
      </c>
      <c r="N72" s="15">
        <f t="shared" si="28"/>
        <v>200000</v>
      </c>
      <c r="O72" s="7">
        <f t="shared" si="13"/>
        <v>200000</v>
      </c>
      <c r="P72" s="2"/>
      <c r="Q72" s="2"/>
      <c r="R72" s="2">
        <v>2</v>
      </c>
    </row>
    <row r="73" spans="1:18" ht="33">
      <c r="A73" s="32"/>
      <c r="B73" s="32"/>
      <c r="C73" s="28"/>
      <c r="D73" s="36"/>
      <c r="E73" s="32"/>
      <c r="F73" s="33"/>
      <c r="G73" s="33"/>
      <c r="H73" s="2" t="s">
        <v>43</v>
      </c>
      <c r="I73" s="2" t="s">
        <v>94</v>
      </c>
      <c r="J73" s="2">
        <v>19000</v>
      </c>
      <c r="K73" s="2" t="s">
        <v>97</v>
      </c>
      <c r="L73" s="2" t="s">
        <v>98</v>
      </c>
      <c r="M73" s="2">
        <f t="shared" si="11"/>
        <v>114000</v>
      </c>
      <c r="N73" s="15">
        <f t="shared" si="28"/>
        <v>114000</v>
      </c>
      <c r="O73" s="7">
        <f t="shared" si="13"/>
        <v>114000</v>
      </c>
      <c r="P73" s="2"/>
      <c r="Q73" s="2"/>
      <c r="R73" s="2">
        <v>6</v>
      </c>
    </row>
    <row r="74" spans="1:18" ht="33">
      <c r="A74" s="25"/>
      <c r="B74" s="25"/>
      <c r="C74" s="21"/>
      <c r="D74" s="23"/>
      <c r="E74" s="25"/>
      <c r="F74" s="27"/>
      <c r="G74" s="27"/>
      <c r="H74" s="2" t="s">
        <v>93</v>
      </c>
      <c r="I74" s="2" t="s">
        <v>128</v>
      </c>
      <c r="J74" s="2">
        <f>348000+68200+37200+21700+10900</f>
        <v>486000</v>
      </c>
      <c r="K74" s="2" t="s">
        <v>96</v>
      </c>
      <c r="L74" s="2" t="s">
        <v>78</v>
      </c>
      <c r="M74" s="2">
        <f t="shared" si="11"/>
        <v>486000</v>
      </c>
      <c r="N74" s="15">
        <f t="shared" si="28"/>
        <v>486000</v>
      </c>
      <c r="O74" s="7">
        <f t="shared" si="13"/>
        <v>486000</v>
      </c>
      <c r="P74" s="2"/>
      <c r="Q74" s="2"/>
      <c r="R74" s="2">
        <v>1</v>
      </c>
    </row>
    <row r="75" spans="1:18">
      <c r="A75" s="34">
        <v>4</v>
      </c>
      <c r="B75" s="34" t="s">
        <v>49</v>
      </c>
      <c r="C75" s="19" t="s">
        <v>50</v>
      </c>
      <c r="D75" s="17">
        <v>900</v>
      </c>
      <c r="E75" s="14" t="s">
        <v>151</v>
      </c>
      <c r="F75" s="12">
        <v>4500</v>
      </c>
      <c r="G75" s="12">
        <f t="shared" si="2"/>
        <v>4050000</v>
      </c>
      <c r="H75" s="2" t="s">
        <v>27</v>
      </c>
      <c r="I75" s="35" t="s">
        <v>174</v>
      </c>
      <c r="J75" s="35"/>
      <c r="K75" s="35"/>
      <c r="L75" s="35"/>
      <c r="M75" s="2">
        <v>4050000</v>
      </c>
      <c r="N75" s="15">
        <f>M75</f>
        <v>4050000</v>
      </c>
      <c r="O75" s="7">
        <f t="shared" si="13"/>
        <v>4050000</v>
      </c>
      <c r="P75" s="4"/>
      <c r="Q75" s="4"/>
      <c r="R75" s="4"/>
    </row>
    <row r="76" spans="1:18" ht="33">
      <c r="A76" s="34"/>
      <c r="B76" s="34"/>
      <c r="C76" s="19" t="s">
        <v>51</v>
      </c>
      <c r="D76" s="17">
        <v>135</v>
      </c>
      <c r="E76" s="14" t="s">
        <v>151</v>
      </c>
      <c r="F76" s="12">
        <v>4500</v>
      </c>
      <c r="G76" s="12">
        <f t="shared" si="2"/>
        <v>607500</v>
      </c>
      <c r="H76" s="2" t="s">
        <v>27</v>
      </c>
      <c r="I76" s="48" t="s">
        <v>170</v>
      </c>
      <c r="J76" s="49"/>
      <c r="K76" s="49"/>
      <c r="L76" s="50"/>
      <c r="M76" s="2">
        <v>607500</v>
      </c>
      <c r="N76" s="15">
        <f t="shared" ref="N76:N82" si="29">M76</f>
        <v>607500</v>
      </c>
      <c r="O76" s="7">
        <f t="shared" si="13"/>
        <v>607500</v>
      </c>
      <c r="P76" s="4"/>
      <c r="Q76" s="4"/>
      <c r="R76" s="4"/>
    </row>
    <row r="77" spans="1:18">
      <c r="A77" s="34"/>
      <c r="B77" s="34"/>
      <c r="C77" s="19" t="s">
        <v>52</v>
      </c>
      <c r="D77" s="17">
        <v>30</v>
      </c>
      <c r="E77" s="14" t="s">
        <v>151</v>
      </c>
      <c r="F77" s="12">
        <v>4500</v>
      </c>
      <c r="G77" s="12">
        <f t="shared" si="2"/>
        <v>135000</v>
      </c>
      <c r="H77" s="2" t="s">
        <v>27</v>
      </c>
      <c r="I77" s="51" t="s">
        <v>171</v>
      </c>
      <c r="J77" s="52"/>
      <c r="K77" s="52"/>
      <c r="L77" s="53"/>
      <c r="M77" s="2">
        <v>135000</v>
      </c>
      <c r="N77" s="15">
        <f t="shared" si="29"/>
        <v>135000</v>
      </c>
      <c r="O77" s="7">
        <f t="shared" si="13"/>
        <v>135000</v>
      </c>
      <c r="P77" s="4"/>
      <c r="Q77" s="4"/>
      <c r="R77" s="4"/>
    </row>
    <row r="78" spans="1:18">
      <c r="A78" s="34"/>
      <c r="B78" s="34"/>
      <c r="C78" s="19" t="s">
        <v>53</v>
      </c>
      <c r="D78" s="17">
        <v>30</v>
      </c>
      <c r="E78" s="14" t="s">
        <v>151</v>
      </c>
      <c r="F78" s="12">
        <v>4500</v>
      </c>
      <c r="G78" s="12">
        <f t="shared" si="2"/>
        <v>135000</v>
      </c>
      <c r="H78" s="2" t="s">
        <v>27</v>
      </c>
      <c r="I78" s="51" t="s">
        <v>171</v>
      </c>
      <c r="J78" s="52"/>
      <c r="K78" s="52"/>
      <c r="L78" s="53"/>
      <c r="M78" s="2">
        <v>135000</v>
      </c>
      <c r="N78" s="15">
        <f t="shared" si="29"/>
        <v>135000</v>
      </c>
      <c r="O78" s="7">
        <f t="shared" si="13"/>
        <v>135000</v>
      </c>
      <c r="P78" s="4"/>
      <c r="Q78" s="4"/>
      <c r="R78" s="4"/>
    </row>
    <row r="79" spans="1:18">
      <c r="A79" s="34"/>
      <c r="B79" s="34"/>
      <c r="C79" s="19" t="s">
        <v>54</v>
      </c>
      <c r="D79" s="17">
        <v>10</v>
      </c>
      <c r="E79" s="14" t="s">
        <v>151</v>
      </c>
      <c r="F79" s="12">
        <v>4500</v>
      </c>
      <c r="G79" s="12">
        <f t="shared" si="2"/>
        <v>45000</v>
      </c>
      <c r="H79" s="2" t="s">
        <v>27</v>
      </c>
      <c r="I79" s="54" t="s">
        <v>172</v>
      </c>
      <c r="J79" s="55"/>
      <c r="K79" s="55"/>
      <c r="L79" s="56"/>
      <c r="M79" s="2">
        <v>45000</v>
      </c>
      <c r="N79" s="15">
        <f t="shared" si="29"/>
        <v>45000</v>
      </c>
      <c r="O79" s="7">
        <f t="shared" si="13"/>
        <v>45000</v>
      </c>
      <c r="P79" s="4"/>
      <c r="Q79" s="4"/>
      <c r="R79" s="4"/>
    </row>
    <row r="80" spans="1:18" ht="33" customHeight="1">
      <c r="A80" s="34"/>
      <c r="B80" s="34"/>
      <c r="C80" s="19" t="s">
        <v>55</v>
      </c>
      <c r="D80" s="17">
        <v>75</v>
      </c>
      <c r="E80" s="14" t="s">
        <v>151</v>
      </c>
      <c r="F80" s="12">
        <v>4500</v>
      </c>
      <c r="G80" s="12">
        <f>F80*D80</f>
        <v>337500</v>
      </c>
      <c r="H80" s="2" t="s">
        <v>27</v>
      </c>
      <c r="I80" s="57" t="s">
        <v>173</v>
      </c>
      <c r="J80" s="58"/>
      <c r="K80" s="58"/>
      <c r="L80" s="59"/>
      <c r="M80" s="2">
        <v>337500</v>
      </c>
      <c r="N80" s="15">
        <f t="shared" si="29"/>
        <v>337500</v>
      </c>
      <c r="O80" s="7">
        <f t="shared" si="13"/>
        <v>337500</v>
      </c>
      <c r="P80" s="4"/>
      <c r="Q80" s="4"/>
      <c r="R80" s="4"/>
    </row>
    <row r="81" spans="1:18">
      <c r="A81" s="3">
        <v>5</v>
      </c>
      <c r="B81" s="3" t="s">
        <v>56</v>
      </c>
      <c r="C81" s="19" t="s">
        <v>57</v>
      </c>
      <c r="D81" s="17">
        <v>1</v>
      </c>
      <c r="E81" s="18" t="s">
        <v>26</v>
      </c>
      <c r="F81" s="12">
        <v>300000</v>
      </c>
      <c r="G81" s="12">
        <f t="shared" si="2"/>
        <v>300000</v>
      </c>
      <c r="H81" s="34"/>
      <c r="I81" s="34"/>
      <c r="J81" s="34"/>
      <c r="K81" s="34"/>
      <c r="L81" s="34"/>
      <c r="M81" s="2">
        <v>300000</v>
      </c>
      <c r="N81" s="15">
        <f t="shared" si="29"/>
        <v>300000</v>
      </c>
      <c r="O81" s="7">
        <f t="shared" si="13"/>
        <v>300000</v>
      </c>
      <c r="P81" s="4"/>
      <c r="Q81" s="4"/>
      <c r="R81" s="4"/>
    </row>
    <row r="82" spans="1:18">
      <c r="A82" s="3">
        <v>6</v>
      </c>
      <c r="B82" s="3" t="s">
        <v>58</v>
      </c>
      <c r="C82" s="19"/>
      <c r="D82" s="11">
        <v>1</v>
      </c>
      <c r="E82" s="18" t="s">
        <v>26</v>
      </c>
      <c r="F82" s="12">
        <v>2200000</v>
      </c>
      <c r="G82" s="12">
        <f t="shared" si="2"/>
        <v>2200000</v>
      </c>
      <c r="H82" s="34"/>
      <c r="I82" s="34"/>
      <c r="J82" s="34"/>
      <c r="K82" s="34"/>
      <c r="L82" s="34"/>
      <c r="M82" s="2">
        <v>2200000</v>
      </c>
      <c r="N82" s="15">
        <f t="shared" si="29"/>
        <v>2200000</v>
      </c>
      <c r="O82" s="7">
        <f t="shared" si="13"/>
        <v>2200000</v>
      </c>
      <c r="P82" s="4"/>
      <c r="Q82" s="4"/>
      <c r="R82" s="4"/>
    </row>
    <row r="83" spans="1:18">
      <c r="A83" s="3">
        <v>7</v>
      </c>
      <c r="B83" s="3" t="s">
        <v>59</v>
      </c>
      <c r="C83" s="10"/>
      <c r="D83" s="11">
        <v>1</v>
      </c>
      <c r="E83" s="18" t="s">
        <v>26</v>
      </c>
      <c r="F83" s="12">
        <v>1722000</v>
      </c>
      <c r="G83" s="12">
        <f t="shared" si="2"/>
        <v>1722000</v>
      </c>
      <c r="H83" s="34"/>
      <c r="I83" s="34"/>
      <c r="J83" s="34"/>
      <c r="K83" s="34"/>
      <c r="L83" s="34"/>
      <c r="M83" s="2">
        <v>1722000</v>
      </c>
      <c r="N83" s="15">
        <f>M83</f>
        <v>1722000</v>
      </c>
      <c r="O83" s="7">
        <f t="shared" si="13"/>
        <v>1722000</v>
      </c>
      <c r="P83" s="4"/>
      <c r="Q83" s="4"/>
      <c r="R83" s="4"/>
    </row>
    <row r="84" spans="1:18">
      <c r="F84" s="1" t="s">
        <v>117</v>
      </c>
      <c r="G84" s="6">
        <f>SUM(G2:G83)</f>
        <v>30000000</v>
      </c>
    </row>
    <row r="85" spans="1:18">
      <c r="M85" s="2" t="s">
        <v>112</v>
      </c>
      <c r="N85" s="2" t="s">
        <v>113</v>
      </c>
      <c r="O85" s="2" t="s">
        <v>108</v>
      </c>
      <c r="P85" s="2"/>
    </row>
    <row r="86" spans="1:18">
      <c r="M86" s="2">
        <f>SUM(M2:M83)</f>
        <v>30000000</v>
      </c>
      <c r="N86" s="7">
        <f>SUM(N2:N83)</f>
        <v>17829493.439999998</v>
      </c>
      <c r="O86" s="7">
        <f>SUM(O2:O83)</f>
        <v>22670000</v>
      </c>
      <c r="P86" s="2"/>
    </row>
    <row r="87" spans="1:18">
      <c r="M87" s="8" t="s">
        <v>114</v>
      </c>
      <c r="N87" s="9">
        <f>(M86-N86)/M86</f>
        <v>0.40568355200000006</v>
      </c>
      <c r="O87" s="9">
        <v>0.2218</v>
      </c>
      <c r="P87" s="2"/>
    </row>
    <row r="88" spans="1:18">
      <c r="M88" s="2" t="s">
        <v>129</v>
      </c>
      <c r="N88" s="13">
        <f>(N87+O87)/2</f>
        <v>0.31374177600000003</v>
      </c>
      <c r="O88" s="4" t="s">
        <v>130</v>
      </c>
      <c r="P88" s="13">
        <f>N87-N88</f>
        <v>9.1941776000000031E-2</v>
      </c>
    </row>
    <row r="90" spans="1:18">
      <c r="H90" s="6"/>
    </row>
    <row r="91" spans="1:18">
      <c r="H91" s="6"/>
    </row>
    <row r="92" spans="1:18">
      <c r="H92" s="6"/>
    </row>
    <row r="93" spans="1:18">
      <c r="H93" s="6"/>
    </row>
    <row r="94" spans="1:18">
      <c r="H94" s="6"/>
    </row>
    <row r="95" spans="1:18">
      <c r="H95" s="6"/>
    </row>
    <row r="96" spans="1:18">
      <c r="H96" s="6"/>
    </row>
    <row r="97" spans="8:8">
      <c r="H97" s="6"/>
    </row>
  </sheetData>
  <mergeCells count="99">
    <mergeCell ref="C44:C46"/>
    <mergeCell ref="D44:D46"/>
    <mergeCell ref="E44:E46"/>
    <mergeCell ref="F44:F46"/>
    <mergeCell ref="G44:G46"/>
    <mergeCell ref="C39:C43"/>
    <mergeCell ref="D39:D43"/>
    <mergeCell ref="E39:E43"/>
    <mergeCell ref="F39:F43"/>
    <mergeCell ref="G39:G43"/>
    <mergeCell ref="C32:C38"/>
    <mergeCell ref="D32:D38"/>
    <mergeCell ref="E32:E38"/>
    <mergeCell ref="F32:F38"/>
    <mergeCell ref="G32:G38"/>
    <mergeCell ref="D17:D22"/>
    <mergeCell ref="E17:E22"/>
    <mergeCell ref="F17:F22"/>
    <mergeCell ref="G17:G22"/>
    <mergeCell ref="C26:C31"/>
    <mergeCell ref="D26:D31"/>
    <mergeCell ref="E26:E31"/>
    <mergeCell ref="F26:F31"/>
    <mergeCell ref="G26:G31"/>
    <mergeCell ref="C8:C16"/>
    <mergeCell ref="D8:D16"/>
    <mergeCell ref="E8:E16"/>
    <mergeCell ref="F8:F16"/>
    <mergeCell ref="G8:G16"/>
    <mergeCell ref="C17:C22"/>
    <mergeCell ref="H1:L1"/>
    <mergeCell ref="C23:C25"/>
    <mergeCell ref="D23:D25"/>
    <mergeCell ref="E23:E25"/>
    <mergeCell ref="B75:B80"/>
    <mergeCell ref="D68:D70"/>
    <mergeCell ref="E68:E70"/>
    <mergeCell ref="F68:F70"/>
    <mergeCell ref="G68:G70"/>
    <mergeCell ref="C65:C67"/>
    <mergeCell ref="D65:D67"/>
    <mergeCell ref="E65:E67"/>
    <mergeCell ref="F65:F67"/>
    <mergeCell ref="G65:G67"/>
    <mergeCell ref="C59:C61"/>
    <mergeCell ref="D59:D61"/>
    <mergeCell ref="A75:A80"/>
    <mergeCell ref="H81:L81"/>
    <mergeCell ref="B2:B7"/>
    <mergeCell ref="A2:A7"/>
    <mergeCell ref="B8:B49"/>
    <mergeCell ref="A8:A49"/>
    <mergeCell ref="F23:F25"/>
    <mergeCell ref="G23:G25"/>
    <mergeCell ref="A50:A74"/>
    <mergeCell ref="B50:B74"/>
    <mergeCell ref="C72:C74"/>
    <mergeCell ref="D72:D74"/>
    <mergeCell ref="E72:E74"/>
    <mergeCell ref="F72:F74"/>
    <mergeCell ref="G72:G74"/>
    <mergeCell ref="C68:C70"/>
    <mergeCell ref="H82:L82"/>
    <mergeCell ref="H83:L83"/>
    <mergeCell ref="H2:L2"/>
    <mergeCell ref="H3:L3"/>
    <mergeCell ref="H4:L4"/>
    <mergeCell ref="H5:L5"/>
    <mergeCell ref="H6:L6"/>
    <mergeCell ref="H7:L7"/>
    <mergeCell ref="I75:L75"/>
    <mergeCell ref="I80:L80"/>
    <mergeCell ref="I76:L76"/>
    <mergeCell ref="I77:L77"/>
    <mergeCell ref="I78:L78"/>
    <mergeCell ref="I79:L79"/>
    <mergeCell ref="E59:E61"/>
    <mergeCell ref="F59:F61"/>
    <mergeCell ref="G59:G61"/>
    <mergeCell ref="C62:C64"/>
    <mergeCell ref="D62:D64"/>
    <mergeCell ref="E62:E64"/>
    <mergeCell ref="F62:F64"/>
    <mergeCell ref="G62:G64"/>
    <mergeCell ref="C50:C53"/>
    <mergeCell ref="D50:D53"/>
    <mergeCell ref="E50:E53"/>
    <mergeCell ref="F50:F53"/>
    <mergeCell ref="G50:G53"/>
    <mergeCell ref="C54:C58"/>
    <mergeCell ref="D54:D58"/>
    <mergeCell ref="E54:E58"/>
    <mergeCell ref="F54:F58"/>
    <mergeCell ref="G54:G58"/>
    <mergeCell ref="C47:C48"/>
    <mergeCell ref="D47:D48"/>
    <mergeCell ref="E47:E48"/>
    <mergeCell ref="F47:F48"/>
    <mergeCell ref="G47:G4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0" sqref="C30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推算表</vt:lpstr>
      <vt:lpstr>資料來源</vt:lpstr>
      <vt:lpstr>Sheet3</vt:lpstr>
    </vt:vector>
  </TitlesOfParts>
  <Company>AUO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raylinchen</dc:creator>
  <cp:lastModifiedBy>raylinchen</cp:lastModifiedBy>
  <dcterms:created xsi:type="dcterms:W3CDTF">2021-06-19T04:27:10Z</dcterms:created>
  <dcterms:modified xsi:type="dcterms:W3CDTF">2021-06-23T05:31:22Z</dcterms:modified>
</cp:coreProperties>
</file>