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90" windowWidth="10755" windowHeight="8295"/>
  </bookViews>
  <sheets>
    <sheet name="推算表" sheetId="1" r:id="rId1"/>
    <sheet name="資料來源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P62" i="1"/>
  <c r="N62"/>
  <c r="O61"/>
  <c r="N61"/>
  <c r="M60"/>
  <c r="N60"/>
  <c r="T17"/>
  <c r="T21"/>
  <c r="U21" s="1"/>
  <c r="T24"/>
  <c r="U24" s="1"/>
  <c r="N23"/>
  <c r="N29"/>
  <c r="N31"/>
  <c r="N32"/>
  <c r="N33"/>
  <c r="N34"/>
  <c r="N37"/>
  <c r="N44"/>
  <c r="N43"/>
  <c r="N42"/>
  <c r="N41"/>
  <c r="N24"/>
  <c r="N21"/>
  <c r="N17"/>
  <c r="N19"/>
  <c r="N18"/>
  <c r="N16"/>
  <c r="N15"/>
  <c r="N14"/>
  <c r="N13"/>
  <c r="N12"/>
  <c r="N11"/>
  <c r="N10"/>
  <c r="N9"/>
  <c r="N8"/>
  <c r="N7"/>
  <c r="N6"/>
  <c r="N5"/>
  <c r="N4"/>
  <c r="N3"/>
  <c r="N2"/>
  <c r="N45"/>
  <c r="N52"/>
  <c r="N51"/>
  <c r="N50"/>
  <c r="N49"/>
  <c r="N48"/>
  <c r="N47"/>
  <c r="N46"/>
  <c r="N53"/>
  <c r="O2"/>
  <c r="O3"/>
  <c r="O4"/>
  <c r="O5"/>
  <c r="O6"/>
  <c r="O7"/>
  <c r="O20"/>
  <c r="O21"/>
  <c r="O22"/>
  <c r="O23"/>
  <c r="O24"/>
  <c r="O25"/>
  <c r="O26"/>
  <c r="O27"/>
  <c r="O28"/>
  <c r="O29"/>
  <c r="O30"/>
  <c r="O31"/>
  <c r="O32"/>
  <c r="O33"/>
  <c r="O34"/>
  <c r="O35"/>
  <c r="O36"/>
  <c r="O37"/>
  <c r="O38"/>
  <c r="O39"/>
  <c r="O40"/>
  <c r="O41"/>
  <c r="O42"/>
  <c r="O43"/>
  <c r="O44"/>
  <c r="O45"/>
  <c r="O46"/>
  <c r="O47"/>
  <c r="O48"/>
  <c r="O49"/>
  <c r="O50"/>
  <c r="O51"/>
  <c r="O52"/>
  <c r="O53"/>
  <c r="O8"/>
  <c r="O9"/>
  <c r="O10"/>
  <c r="O11"/>
  <c r="O12"/>
  <c r="O13"/>
  <c r="O14"/>
  <c r="O15"/>
  <c r="O16"/>
  <c r="O18"/>
  <c r="O19"/>
  <c r="N28"/>
  <c r="N26"/>
  <c r="N25"/>
  <c r="M18"/>
  <c r="J44"/>
  <c r="M44" s="1"/>
  <c r="M43"/>
  <c r="M42"/>
  <c r="M41"/>
  <c r="M40"/>
  <c r="M39"/>
  <c r="M38"/>
  <c r="M37"/>
  <c r="M36"/>
  <c r="M35"/>
  <c r="M34"/>
  <c r="M33"/>
  <c r="M32"/>
  <c r="M31"/>
  <c r="M30"/>
  <c r="M29"/>
  <c r="M28"/>
  <c r="M27"/>
  <c r="M26"/>
  <c r="M25"/>
  <c r="M24"/>
  <c r="M21"/>
  <c r="M22"/>
  <c r="M23"/>
  <c r="M20"/>
  <c r="M17"/>
  <c r="O17" s="1"/>
  <c r="O56" s="1"/>
  <c r="M12"/>
  <c r="M11"/>
  <c r="M10"/>
  <c r="G51"/>
  <c r="G52"/>
  <c r="G53"/>
  <c r="G46"/>
  <c r="G47"/>
  <c r="G48"/>
  <c r="G49"/>
  <c r="G50"/>
  <c r="G45"/>
  <c r="G20"/>
  <c r="G24"/>
  <c r="G29"/>
  <c r="G32"/>
  <c r="G35"/>
  <c r="G38"/>
  <c r="G41"/>
  <c r="G42"/>
  <c r="G19"/>
  <c r="G17"/>
  <c r="G16"/>
  <c r="G15"/>
  <c r="G14"/>
  <c r="G13"/>
  <c r="G10"/>
  <c r="G9"/>
  <c r="G8"/>
  <c r="G3"/>
  <c r="G4"/>
  <c r="G5"/>
  <c r="G6"/>
  <c r="G7"/>
  <c r="G2"/>
  <c r="U17" l="1"/>
  <c r="N56"/>
  <c r="M56"/>
  <c r="G54"/>
  <c r="T27"/>
  <c r="U27" s="1"/>
  <c r="T26"/>
  <c r="U26" s="1"/>
  <c r="T28"/>
  <c r="U28" s="1"/>
  <c r="T25"/>
  <c r="U25" s="1"/>
  <c r="N27"/>
  <c r="N57" l="1"/>
  <c r="O57"/>
  <c r="N58" l="1"/>
  <c r="P58" s="1"/>
</calcChain>
</file>

<file path=xl/sharedStrings.xml><?xml version="1.0" encoding="utf-8"?>
<sst xmlns="http://schemas.openxmlformats.org/spreadsheetml/2006/main" count="245" uniqueCount="159">
  <si>
    <t>設計 &amp; 軟體</t>
  </si>
  <si>
    <t>機構設計</t>
  </si>
  <si>
    <t>光學系統設計</t>
  </si>
  <si>
    <t>電/氣 設計</t>
  </si>
  <si>
    <t>控制軟體</t>
  </si>
  <si>
    <t>檢測軟體</t>
  </si>
  <si>
    <t>CIM 軟體</t>
  </si>
  <si>
    <t>DESCRIPTION_2</t>
  </si>
  <si>
    <t>DESCRIPTION_1</t>
  </si>
  <si>
    <t>ITEM</t>
  </si>
  <si>
    <t>Q'TY</t>
  </si>
  <si>
    <t>UNIT(單位)</t>
  </si>
  <si>
    <t>UNIT PRICE</t>
  </si>
  <si>
    <t>金額(NTD)</t>
  </si>
  <si>
    <t>REMARK</t>
  </si>
  <si>
    <t>H</t>
    <phoneticPr fontId="1" type="noConversion"/>
  </si>
  <si>
    <t>機體框架</t>
  </si>
  <si>
    <t>機體架構費用</t>
  </si>
  <si>
    <t>機體外罩</t>
  </si>
  <si>
    <t>AOI 龍門座組成</t>
  </si>
  <si>
    <t>氣浮平台組成</t>
  </si>
  <si>
    <t>AOI 龍門座電控模組</t>
  </si>
  <si>
    <t>Review 龍門座電控模組</t>
  </si>
  <si>
    <t>Gripper/氣壓等傳動模組</t>
  </si>
  <si>
    <t>CIM 通訊模組</t>
  </si>
  <si>
    <t>電控箱配電模組</t>
  </si>
  <si>
    <t>set</t>
    <phoneticPr fontId="1" type="noConversion"/>
  </si>
  <si>
    <t>FAVITE</t>
  </si>
  <si>
    <t>FAVITE</t>
    <phoneticPr fontId="1" type="noConversion"/>
  </si>
  <si>
    <t>450件</t>
  </si>
  <si>
    <t>線性滑軌&amp;螺桿組, 線軌背板, 線性滑台, 伺服馬達＆驅動器, 其他機製件</t>
  </si>
  <si>
    <t>50件</t>
  </si>
  <si>
    <t>45件</t>
  </si>
  <si>
    <t>200件</t>
  </si>
  <si>
    <t>30件</t>
  </si>
  <si>
    <t>90件</t>
  </si>
  <si>
    <t>AOI光機組成</t>
  </si>
  <si>
    <t>Review組成</t>
  </si>
  <si>
    <t>AOI 反射照明模組</t>
  </si>
  <si>
    <t>AOI 背光模組</t>
  </si>
  <si>
    <t>Review 背光模組 (1)</t>
  </si>
  <si>
    <t>Review 背光模組 (2)</t>
  </si>
  <si>
    <t>檢測IP電腦系統</t>
  </si>
  <si>
    <t>台廠</t>
  </si>
  <si>
    <t>工業電腦</t>
  </si>
  <si>
    <t>5組</t>
  </si>
  <si>
    <t>電控模組</t>
  </si>
  <si>
    <t>各類機製件</t>
    <phoneticPr fontId="1" type="noConversion"/>
  </si>
  <si>
    <t>光學/檢測/電控 模組費用</t>
  </si>
  <si>
    <t>組裝/裝機人力費用</t>
  </si>
  <si>
    <t>工廠組裝費用</t>
  </si>
  <si>
    <t>客服人力 (機台搬入/水電氣管路確認/整機水平與作動調整/光學鏡頭調整/運轉測試/流片測試)</t>
  </si>
  <si>
    <t>控制軟體人力 (IPC電腦安裝測試/機台作動測試/流片測試)</t>
  </si>
  <si>
    <t>檢測人力 (缺陷檢查/參數設定測試)</t>
  </si>
  <si>
    <t>CIM 人力 (I/O點確認/資訊連線測試/流片測試)</t>
  </si>
  <si>
    <t>客服人力 (驗收前叫修, 維修保固)</t>
  </si>
  <si>
    <t>廠內組裝</t>
  </si>
  <si>
    <t>驗收前保修, 驗收後保固期</t>
  </si>
  <si>
    <t>廠外組裝</t>
  </si>
  <si>
    <t>運輸費用</t>
  </si>
  <si>
    <t>設備清潔，包裝，起重，綁櫃，運輸</t>
  </si>
  <si>
    <t>管銷費用</t>
  </si>
  <si>
    <t>利潤</t>
  </si>
  <si>
    <t>其他市構件, 機製件</t>
    <phoneticPr fontId="1" type="noConversion"/>
  </si>
  <si>
    <t>崗岩底座</t>
    <phoneticPr fontId="1" type="noConversion"/>
  </si>
  <si>
    <t>花崗岩龍門</t>
    <phoneticPr fontId="1" type="noConversion"/>
  </si>
  <si>
    <t>500x300x200</t>
    <phoneticPr fontId="1" type="noConversion"/>
  </si>
  <si>
    <t>2550x500x300</t>
    <phoneticPr fontId="1" type="noConversion"/>
  </si>
  <si>
    <t>10組</t>
    <phoneticPr fontId="1" type="noConversion"/>
  </si>
  <si>
    <t>1組</t>
  </si>
  <si>
    <t>1組</t>
    <phoneticPr fontId="1" type="noConversion"/>
  </si>
  <si>
    <t>MATROX</t>
    <phoneticPr fontId="1" type="noConversion"/>
  </si>
  <si>
    <t>線材</t>
  </si>
  <si>
    <t>線材</t>
    <phoneticPr fontId="1" type="noConversion"/>
  </si>
  <si>
    <t>鏡頭</t>
    <phoneticPr fontId="1" type="noConversion"/>
  </si>
  <si>
    <t>影像擷取卡</t>
    <phoneticPr fontId="1" type="noConversion"/>
  </si>
  <si>
    <t>相機</t>
  </si>
  <si>
    <t>4組</t>
  </si>
  <si>
    <t>4組</t>
    <phoneticPr fontId="1" type="noConversion"/>
  </si>
  <si>
    <t>VMU-V(378-505)</t>
    <phoneticPr fontId="1" type="noConversion"/>
  </si>
  <si>
    <t>378-804-3</t>
  </si>
  <si>
    <t>Mitutoyo</t>
  </si>
  <si>
    <t>顯微鏡</t>
    <phoneticPr fontId="1" type="noConversion"/>
  </si>
  <si>
    <t>1套</t>
  </si>
  <si>
    <t>CBL-RGB-FVT</t>
    <phoneticPr fontId="1" type="noConversion"/>
  </si>
  <si>
    <t>台廠</t>
    <phoneticPr fontId="1" type="noConversion"/>
  </si>
  <si>
    <t>控制箱</t>
  </si>
  <si>
    <t>控制箱</t>
    <phoneticPr fontId="1" type="noConversion"/>
  </si>
  <si>
    <t>LED光源</t>
  </si>
  <si>
    <t>日系</t>
  </si>
  <si>
    <t>10 meter connector</t>
  </si>
  <si>
    <t>AITEC</t>
  </si>
  <si>
    <t>8pin connector</t>
  </si>
  <si>
    <t>LPDC1-24150NCW</t>
  </si>
  <si>
    <t>VS TECHNOLOGY</t>
  </si>
  <si>
    <t>VS TECHNOLOGY</t>
    <phoneticPr fontId="1" type="noConversion"/>
  </si>
  <si>
    <t>U-TECHNOLOGY</t>
  </si>
  <si>
    <t>2組</t>
    <phoneticPr fontId="1" type="noConversion"/>
  </si>
  <si>
    <t>WDI</t>
    <phoneticPr fontId="1" type="noConversion"/>
  </si>
  <si>
    <t>PCIE-L132, CP-104UL/ 4 port RS-232</t>
    <phoneticPr fontId="1" type="noConversion"/>
  </si>
  <si>
    <t>WI 30DPRO-E43</t>
  </si>
  <si>
    <t>雷射追焦模組</t>
    <phoneticPr fontId="1" type="noConversion"/>
  </si>
  <si>
    <t>運動卡, 通訊卡, 網路卡</t>
  </si>
  <si>
    <t>6張</t>
  </si>
  <si>
    <t>2台</t>
  </si>
  <si>
    <t>工業電腦</t>
    <phoneticPr fontId="1" type="noConversion"/>
  </si>
  <si>
    <t>ELLIIXA</t>
    <phoneticPr fontId="1" type="noConversion"/>
  </si>
  <si>
    <t>16K CXP</t>
    <phoneticPr fontId="1" type="noConversion"/>
  </si>
  <si>
    <t>市購報價</t>
    <phoneticPr fontId="1" type="noConversion"/>
  </si>
  <si>
    <t>NIKON</t>
    <phoneticPr fontId="1" type="noConversion"/>
  </si>
  <si>
    <t>AIN-F043-112</t>
    <phoneticPr fontId="1" type="noConversion"/>
  </si>
  <si>
    <t>LLRJ1620ｘ20-30W</t>
    <phoneticPr fontId="1" type="noConversion"/>
  </si>
  <si>
    <t xml:space="preserve">廠商價格 </t>
    <phoneticPr fontId="1" type="noConversion"/>
  </si>
  <si>
    <t>自評價格僅有依據</t>
    <phoneticPr fontId="1" type="noConversion"/>
  </si>
  <si>
    <t>自評價格-自製50%利潤</t>
    <phoneticPr fontId="1" type="noConversion"/>
  </si>
  <si>
    <t>網路詢價</t>
    <phoneticPr fontId="1" type="noConversion"/>
  </si>
  <si>
    <t>數量</t>
    <phoneticPr fontId="1" type="noConversion"/>
  </si>
  <si>
    <t>幣別</t>
    <phoneticPr fontId="1" type="noConversion"/>
  </si>
  <si>
    <t>廠商價格</t>
    <phoneticPr fontId="1" type="noConversion"/>
  </si>
  <si>
    <t>自評價格-僅有依據</t>
    <phoneticPr fontId="1" type="noConversion"/>
  </si>
  <si>
    <t>利潤</t>
    <phoneticPr fontId="1" type="noConversion"/>
  </si>
  <si>
    <t>FAVITE</t>
    <phoneticPr fontId="1" type="noConversion"/>
  </si>
  <si>
    <t>1件</t>
    <phoneticPr fontId="1" type="noConversion"/>
  </si>
  <si>
    <t>Total</t>
    <phoneticPr fontId="1" type="noConversion"/>
  </si>
  <si>
    <t>其他市構件</t>
  </si>
  <si>
    <t>氣浮版, 氣壓缸, 配氣塊, 氣浮座,其他機製件</t>
    <phoneticPr fontId="1" type="noConversion"/>
  </si>
  <si>
    <t>氣浮版, 氣壓缸, 配氣塊, 氣浮座</t>
  </si>
  <si>
    <t>線性滑軌&amp;螺桿組, 線軌背板, 線性滑台, 伺服馬達＆驅動器, 線性鼻輪組, Cable chain, 其他機製件</t>
    <phoneticPr fontId="1" type="noConversion"/>
  </si>
  <si>
    <t xml:space="preserve">線性滑軌&amp;螺桿組, </t>
    <phoneticPr fontId="1" type="noConversion"/>
  </si>
  <si>
    <t>光學尺, X/Y線性滑台, 線性滑軌,線碼動子, 氣壓缸, 護蓋, 電磁閥,過濾器, 壓力模組, 電控比例閥, 壓力感測器, 其餘機製件與市構件</t>
    <phoneticPr fontId="1" type="noConversion"/>
  </si>
  <si>
    <t>光學尺, X/Y線性滑台</t>
  </si>
  <si>
    <t>EQ_控制 &amp; 安全-電器模組, 各馬達-軸控 &amp; 線材-控制模組, 各相機-控制 &amp; 線材-通訊模組, PC &amp;EQ 內 , 外部 &amp; 上下游通訊-綜合模組</t>
    <phoneticPr fontId="1" type="noConversion"/>
  </si>
  <si>
    <t>EQ_控制 &amp; 安全-電器模組</t>
  </si>
  <si>
    <t>網路卡, 通訊卡, 其他市構件</t>
    <phoneticPr fontId="1" type="noConversion"/>
  </si>
  <si>
    <t>網路卡, 通訊卡</t>
  </si>
  <si>
    <t>ATF5, ATF5 controller, ControllerMCM+, WDIWLED</t>
    <phoneticPr fontId="1" type="noConversion"/>
  </si>
  <si>
    <t>廠商利潤應為</t>
    <phoneticPr fontId="1" type="noConversion"/>
  </si>
  <si>
    <t xml:space="preserve"> ± </t>
    <phoneticPr fontId="1" type="noConversion"/>
  </si>
  <si>
    <t>日系</t>
    <phoneticPr fontId="1" type="noConversion"/>
  </si>
  <si>
    <t>378-801-3</t>
  </si>
  <si>
    <t>378-802-6</t>
    <phoneticPr fontId="1" type="noConversion"/>
  </si>
  <si>
    <t>378-803-3</t>
    <phoneticPr fontId="1" type="noConversion"/>
  </si>
  <si>
    <t>物鏡組2X</t>
    <phoneticPr fontId="1" type="noConversion"/>
  </si>
  <si>
    <t>物鏡組5X</t>
    <phoneticPr fontId="1" type="noConversion"/>
  </si>
  <si>
    <t>物鏡組10X</t>
    <phoneticPr fontId="1" type="noConversion"/>
  </si>
  <si>
    <t>物鏡組20X</t>
    <phoneticPr fontId="1" type="noConversion"/>
  </si>
  <si>
    <t>CPU i-7 64bit</t>
    <phoneticPr fontId="1" type="noConversion"/>
  </si>
  <si>
    <t>RAP4G4C6</t>
    <phoneticPr fontId="1" type="noConversion"/>
  </si>
  <si>
    <t>FA-L12056-075/V</t>
    <phoneticPr fontId="1" type="noConversion"/>
  </si>
  <si>
    <t>SPX-N80</t>
    <phoneticPr fontId="1" type="noConversion"/>
  </si>
  <si>
    <t>SPX-FAV-RGB</t>
    <phoneticPr fontId="1" type="noConversion"/>
  </si>
  <si>
    <t>REVOX</t>
    <phoneticPr fontId="1" type="noConversion"/>
  </si>
  <si>
    <t>4CXP6-B/1-MB/1-15M</t>
    <phoneticPr fontId="1" type="noConversion"/>
  </si>
  <si>
    <t>VL-ECNR5</t>
    <phoneticPr fontId="1" type="noConversion"/>
  </si>
  <si>
    <t>VLP-2410-1</t>
    <phoneticPr fontId="1" type="noConversion"/>
  </si>
  <si>
    <t>UDB-60W60</t>
    <phoneticPr fontId="1" type="noConversion"/>
  </si>
  <si>
    <t>LCB-N600-48</t>
    <phoneticPr fontId="1" type="noConversion"/>
  </si>
  <si>
    <t>Type: Server level
CPU: Xeon E5 64bit
System: Win10 Pro</t>
    <phoneticPr fontId="1" type="noConversion"/>
  </si>
  <si>
    <t>人工</t>
    <phoneticPr fontId="1" type="noConversion"/>
  </si>
</sst>
</file>

<file path=xl/styles.xml><?xml version="1.0" encoding="utf-8"?>
<styleSheet xmlns="http://schemas.openxmlformats.org/spreadsheetml/2006/main">
  <numFmts count="2">
    <numFmt numFmtId="176" formatCode="0_);[Red]\(0\)"/>
    <numFmt numFmtId="177" formatCode="0_ "/>
  </numFmts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vertical="center" wrapText="1"/>
    </xf>
    <xf numFmtId="176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  <xf numFmtId="177" fontId="0" fillId="0" borderId="1" xfId="0" applyNumberFormat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10" fontId="0" fillId="2" borderId="1" xfId="0" applyNumberFormat="1" applyFill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176" fontId="0" fillId="0" borderId="1" xfId="0" applyNumberFormat="1" applyBorder="1" applyAlignment="1">
      <alignment horizontal="right" vertical="center" wrapText="1"/>
    </xf>
    <xf numFmtId="10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horizontal="right" vertical="center" wrapText="1"/>
    </xf>
    <xf numFmtId="0" fontId="0" fillId="0" borderId="3" xfId="0" applyBorder="1" applyAlignment="1">
      <alignment horizontal="right" vertical="center" wrapText="1"/>
    </xf>
    <xf numFmtId="0" fontId="0" fillId="0" borderId="4" xfId="0" applyBorder="1" applyAlignment="1">
      <alignment horizontal="righ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76" fontId="0" fillId="0" borderId="2" xfId="0" applyNumberFormat="1" applyBorder="1" applyAlignment="1">
      <alignment horizontal="right" vertical="center" wrapText="1"/>
    </xf>
    <xf numFmtId="176" fontId="0" fillId="0" borderId="3" xfId="0" applyNumberFormat="1" applyBorder="1" applyAlignment="1">
      <alignment horizontal="right" vertical="center" wrapText="1"/>
    </xf>
    <xf numFmtId="176" fontId="0" fillId="0" borderId="4" xfId="0" applyNumberFormat="1" applyBorder="1" applyAlignment="1">
      <alignment horizontal="righ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177" fontId="0" fillId="3" borderId="1" xfId="0" applyNumberFormat="1" applyFill="1" applyBorder="1" applyAlignment="1">
      <alignment vertical="center" wrapText="1"/>
    </xf>
    <xf numFmtId="177" fontId="0" fillId="0" borderId="0" xfId="0" applyNumberFormat="1" applyAlignment="1">
      <alignment vertical="center" wrapText="1"/>
    </xf>
    <xf numFmtId="0" fontId="0" fillId="4" borderId="1" xfId="0" applyFill="1" applyBorder="1" applyAlignment="1">
      <alignment horizontal="right" vertical="center" wrapText="1"/>
    </xf>
    <xf numFmtId="0" fontId="0" fillId="4" borderId="2" xfId="0" applyFill="1" applyBorder="1" applyAlignment="1">
      <alignment horizontal="right" vertical="center" wrapText="1"/>
    </xf>
    <xf numFmtId="0" fontId="0" fillId="4" borderId="3" xfId="0" applyFill="1" applyBorder="1" applyAlignment="1">
      <alignment horizontal="right" vertical="center" wrapText="1"/>
    </xf>
    <xf numFmtId="0" fontId="0" fillId="4" borderId="4" xfId="0" applyFill="1" applyBorder="1" applyAlignment="1">
      <alignment horizontal="right" vertical="center" wrapText="1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666750</xdr:colOff>
      <xdr:row>15</xdr:row>
      <xdr:rowOff>133350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5467350" cy="32766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5"/>
  <sheetViews>
    <sheetView tabSelected="1" zoomScale="115" zoomScaleNormal="115" workbookViewId="0">
      <selection activeCell="C14" sqref="C14"/>
    </sheetView>
  </sheetViews>
  <sheetFormatPr defaultRowHeight="16.5"/>
  <cols>
    <col min="1" max="1" width="7" style="1" bestFit="1" customWidth="1"/>
    <col min="2" max="2" width="27.125" style="1" bestFit="1" customWidth="1"/>
    <col min="3" max="3" width="59.5" style="1" customWidth="1"/>
    <col min="4" max="4" width="6.5" style="1" bestFit="1" customWidth="1"/>
    <col min="5" max="5" width="12.625" style="1" bestFit="1" customWidth="1"/>
    <col min="6" max="6" width="13.5" style="1" bestFit="1" customWidth="1"/>
    <col min="7" max="7" width="11.75" style="1" bestFit="1" customWidth="1"/>
    <col min="8" max="8" width="22.375" style="1" bestFit="1" customWidth="1"/>
    <col min="9" max="9" width="24.625" style="1" customWidth="1"/>
    <col min="10" max="10" width="22.375" style="1" hidden="1" customWidth="1"/>
    <col min="11" max="11" width="89.375" style="1" hidden="1" customWidth="1"/>
    <col min="12" max="12" width="8.125" style="1" bestFit="1" customWidth="1"/>
    <col min="13" max="13" width="21.25" style="1" bestFit="1" customWidth="1"/>
    <col min="14" max="15" width="25.375" style="1" bestFit="1" customWidth="1"/>
    <col min="16" max="16" width="11.125" style="1" bestFit="1" customWidth="1"/>
    <col min="17" max="17" width="11.125" style="1" hidden="1" customWidth="1"/>
    <col min="18" max="18" width="6.25" style="1" bestFit="1" customWidth="1"/>
    <col min="20" max="20" width="9" style="1"/>
    <col min="21" max="21" width="12.25" style="1" bestFit="1" customWidth="1"/>
    <col min="22" max="23" width="9.5" style="1" bestFit="1" customWidth="1"/>
    <col min="24" max="24" width="12.25" style="1" bestFit="1" customWidth="1"/>
    <col min="25" max="25" width="9.5" style="1" bestFit="1" customWidth="1"/>
    <col min="26" max="16384" width="9" style="1"/>
  </cols>
  <sheetData>
    <row r="1" spans="1:20">
      <c r="A1" s="3" t="s">
        <v>9</v>
      </c>
      <c r="B1" s="3" t="s">
        <v>8</v>
      </c>
      <c r="C1" s="3" t="s">
        <v>7</v>
      </c>
      <c r="D1" s="3" t="s">
        <v>10</v>
      </c>
      <c r="E1" s="3" t="s">
        <v>11</v>
      </c>
      <c r="F1" s="3" t="s">
        <v>12</v>
      </c>
      <c r="G1" s="3" t="s">
        <v>13</v>
      </c>
      <c r="H1" s="15" t="s">
        <v>14</v>
      </c>
      <c r="I1" s="15"/>
      <c r="J1" s="15"/>
      <c r="K1" s="15"/>
      <c r="L1" s="15"/>
      <c r="M1" s="2" t="s">
        <v>112</v>
      </c>
      <c r="N1" s="2" t="s">
        <v>113</v>
      </c>
      <c r="O1" s="2" t="s">
        <v>114</v>
      </c>
      <c r="P1" s="4" t="s">
        <v>115</v>
      </c>
      <c r="Q1" s="4" t="s">
        <v>117</v>
      </c>
      <c r="R1" s="4" t="s">
        <v>116</v>
      </c>
      <c r="T1" s="1" t="s">
        <v>108</v>
      </c>
    </row>
    <row r="2" spans="1:20">
      <c r="A2" s="15">
        <v>1</v>
      </c>
      <c r="B2" s="15" t="s">
        <v>0</v>
      </c>
      <c r="C2" s="11" t="s">
        <v>1</v>
      </c>
      <c r="D2" s="12">
        <v>120</v>
      </c>
      <c r="E2" s="29" t="s">
        <v>15</v>
      </c>
      <c r="F2" s="13">
        <v>3000</v>
      </c>
      <c r="G2" s="13">
        <f>F2*D2</f>
        <v>360000</v>
      </c>
      <c r="H2" s="15"/>
      <c r="I2" s="15"/>
      <c r="J2" s="15"/>
      <c r="K2" s="15"/>
      <c r="L2" s="15"/>
      <c r="M2" s="2">
        <v>360000</v>
      </c>
      <c r="N2" s="30">
        <f t="shared" ref="N2:N16" si="0">M2</f>
        <v>360000</v>
      </c>
      <c r="O2" s="8">
        <f>M2</f>
        <v>360000</v>
      </c>
      <c r="P2" s="4"/>
      <c r="Q2" s="4"/>
      <c r="R2" s="4"/>
    </row>
    <row r="3" spans="1:20">
      <c r="A3" s="15"/>
      <c r="B3" s="15"/>
      <c r="C3" s="11" t="s">
        <v>2</v>
      </c>
      <c r="D3" s="12">
        <v>24</v>
      </c>
      <c r="E3" s="29" t="s">
        <v>15</v>
      </c>
      <c r="F3" s="13">
        <v>3000</v>
      </c>
      <c r="G3" s="13">
        <f t="shared" ref="G3:G53" si="1">F3*D3</f>
        <v>72000</v>
      </c>
      <c r="H3" s="15"/>
      <c r="I3" s="15"/>
      <c r="J3" s="15"/>
      <c r="K3" s="15"/>
      <c r="L3" s="15"/>
      <c r="M3" s="2">
        <v>72000</v>
      </c>
      <c r="N3" s="30">
        <f t="shared" si="0"/>
        <v>72000</v>
      </c>
      <c r="O3" s="8">
        <f>M3</f>
        <v>72000</v>
      </c>
      <c r="P3" s="4"/>
      <c r="Q3" s="4"/>
      <c r="R3" s="4"/>
    </row>
    <row r="4" spans="1:20">
      <c r="A4" s="15"/>
      <c r="B4" s="15"/>
      <c r="C4" s="11" t="s">
        <v>3</v>
      </c>
      <c r="D4" s="12">
        <v>24</v>
      </c>
      <c r="E4" s="29" t="s">
        <v>15</v>
      </c>
      <c r="F4" s="13">
        <v>3000</v>
      </c>
      <c r="G4" s="13">
        <f t="shared" si="1"/>
        <v>72000</v>
      </c>
      <c r="H4" s="15"/>
      <c r="I4" s="15"/>
      <c r="J4" s="15"/>
      <c r="K4" s="15"/>
      <c r="L4" s="15"/>
      <c r="M4" s="2">
        <v>72000</v>
      </c>
      <c r="N4" s="30">
        <f t="shared" si="0"/>
        <v>72000</v>
      </c>
      <c r="O4" s="8">
        <f>M4</f>
        <v>72000</v>
      </c>
      <c r="P4" s="4"/>
      <c r="Q4" s="4"/>
      <c r="R4" s="4"/>
    </row>
    <row r="5" spans="1:20">
      <c r="A5" s="15"/>
      <c r="B5" s="15"/>
      <c r="C5" s="11" t="s">
        <v>4</v>
      </c>
      <c r="D5" s="12">
        <v>80</v>
      </c>
      <c r="E5" s="29" t="s">
        <v>15</v>
      </c>
      <c r="F5" s="13">
        <v>3000</v>
      </c>
      <c r="G5" s="13">
        <f t="shared" si="1"/>
        <v>240000</v>
      </c>
      <c r="H5" s="15"/>
      <c r="I5" s="15"/>
      <c r="J5" s="15"/>
      <c r="K5" s="15"/>
      <c r="L5" s="15"/>
      <c r="M5" s="2">
        <v>240000</v>
      </c>
      <c r="N5" s="30">
        <f t="shared" si="0"/>
        <v>240000</v>
      </c>
      <c r="O5" s="8">
        <f>M5</f>
        <v>240000</v>
      </c>
      <c r="P5" s="4"/>
      <c r="Q5" s="4"/>
      <c r="R5" s="4"/>
    </row>
    <row r="6" spans="1:20">
      <c r="A6" s="15"/>
      <c r="B6" s="15"/>
      <c r="C6" s="11" t="s">
        <v>5</v>
      </c>
      <c r="D6" s="12">
        <v>24</v>
      </c>
      <c r="E6" s="29" t="s">
        <v>15</v>
      </c>
      <c r="F6" s="13">
        <v>3000</v>
      </c>
      <c r="G6" s="13">
        <f t="shared" si="1"/>
        <v>72000</v>
      </c>
      <c r="H6" s="15"/>
      <c r="I6" s="15"/>
      <c r="J6" s="15"/>
      <c r="K6" s="15"/>
      <c r="L6" s="15"/>
      <c r="M6" s="2">
        <v>72000</v>
      </c>
      <c r="N6" s="30">
        <f t="shared" si="0"/>
        <v>72000</v>
      </c>
      <c r="O6" s="8">
        <f>M6</f>
        <v>72000</v>
      </c>
      <c r="P6" s="4"/>
      <c r="Q6" s="4"/>
      <c r="R6" s="4"/>
    </row>
    <row r="7" spans="1:20">
      <c r="A7" s="15"/>
      <c r="B7" s="15"/>
      <c r="C7" s="11" t="s">
        <v>6</v>
      </c>
      <c r="D7" s="12">
        <v>24</v>
      </c>
      <c r="E7" s="29" t="s">
        <v>15</v>
      </c>
      <c r="F7" s="13">
        <v>3000</v>
      </c>
      <c r="G7" s="13">
        <f>F7*D7</f>
        <v>72000</v>
      </c>
      <c r="H7" s="15"/>
      <c r="I7" s="15"/>
      <c r="J7" s="15"/>
      <c r="K7" s="15"/>
      <c r="L7" s="15"/>
      <c r="M7" s="2">
        <v>72000</v>
      </c>
      <c r="N7" s="30">
        <f t="shared" si="0"/>
        <v>72000</v>
      </c>
      <c r="O7" s="8">
        <f>M7</f>
        <v>72000</v>
      </c>
      <c r="P7" s="4"/>
      <c r="Q7" s="4"/>
      <c r="R7" s="4"/>
    </row>
    <row r="8" spans="1:20">
      <c r="A8" s="15">
        <v>2</v>
      </c>
      <c r="B8" s="15" t="s">
        <v>17</v>
      </c>
      <c r="C8" s="11" t="s">
        <v>16</v>
      </c>
      <c r="D8" s="33">
        <v>1</v>
      </c>
      <c r="E8" s="3" t="s">
        <v>26</v>
      </c>
      <c r="F8" s="13">
        <v>2150000</v>
      </c>
      <c r="G8" s="13">
        <f t="shared" si="1"/>
        <v>2150000</v>
      </c>
      <c r="H8" s="2" t="s">
        <v>28</v>
      </c>
      <c r="I8" s="2" t="s">
        <v>47</v>
      </c>
      <c r="J8" s="2"/>
      <c r="K8" s="2" t="s">
        <v>47</v>
      </c>
      <c r="L8" s="2"/>
      <c r="M8" s="2">
        <v>2150000</v>
      </c>
      <c r="N8" s="30">
        <f t="shared" si="0"/>
        <v>2150000</v>
      </c>
      <c r="O8" s="8">
        <f t="shared" ref="O3:O53" si="2">M8/2</f>
        <v>1075000</v>
      </c>
      <c r="P8" s="2"/>
      <c r="Q8" s="2"/>
      <c r="R8" s="2"/>
    </row>
    <row r="9" spans="1:20">
      <c r="A9" s="15"/>
      <c r="B9" s="15"/>
      <c r="C9" s="11" t="s">
        <v>18</v>
      </c>
      <c r="D9" s="33">
        <v>1</v>
      </c>
      <c r="E9" s="3" t="s">
        <v>26</v>
      </c>
      <c r="F9" s="13">
        <v>1350000</v>
      </c>
      <c r="G9" s="13">
        <f t="shared" si="1"/>
        <v>1350000</v>
      </c>
      <c r="H9" s="2" t="s">
        <v>28</v>
      </c>
      <c r="I9" s="2" t="s">
        <v>47</v>
      </c>
      <c r="J9" s="2"/>
      <c r="K9" s="2" t="s">
        <v>47</v>
      </c>
      <c r="L9" s="2"/>
      <c r="M9" s="2">
        <v>1350000</v>
      </c>
      <c r="N9" s="30">
        <f t="shared" si="0"/>
        <v>1350000</v>
      </c>
      <c r="O9" s="8">
        <f t="shared" si="2"/>
        <v>675000</v>
      </c>
      <c r="P9" s="2"/>
      <c r="Q9" s="2"/>
      <c r="R9" s="2"/>
    </row>
    <row r="10" spans="1:20">
      <c r="A10" s="15"/>
      <c r="B10" s="15"/>
      <c r="C10" s="16" t="s">
        <v>19</v>
      </c>
      <c r="D10" s="34">
        <v>1</v>
      </c>
      <c r="E10" s="22" t="s">
        <v>26</v>
      </c>
      <c r="F10" s="26">
        <v>700000</v>
      </c>
      <c r="G10" s="26">
        <f t="shared" si="1"/>
        <v>700000</v>
      </c>
      <c r="H10" s="2" t="s">
        <v>28</v>
      </c>
      <c r="I10" s="2" t="s">
        <v>67</v>
      </c>
      <c r="J10" s="2">
        <v>250000</v>
      </c>
      <c r="K10" s="2" t="s">
        <v>65</v>
      </c>
      <c r="L10" s="2" t="s">
        <v>70</v>
      </c>
      <c r="M10" s="2">
        <f>J10*R10</f>
        <v>250000</v>
      </c>
      <c r="N10" s="30">
        <f t="shared" si="0"/>
        <v>250000</v>
      </c>
      <c r="O10" s="8">
        <f t="shared" si="2"/>
        <v>125000</v>
      </c>
      <c r="P10" s="2"/>
      <c r="Q10" s="2"/>
      <c r="R10" s="2">
        <v>1</v>
      </c>
    </row>
    <row r="11" spans="1:20">
      <c r="A11" s="15"/>
      <c r="B11" s="15"/>
      <c r="C11" s="17"/>
      <c r="D11" s="35"/>
      <c r="E11" s="23"/>
      <c r="F11" s="27"/>
      <c r="G11" s="27"/>
      <c r="H11" s="2" t="s">
        <v>28</v>
      </c>
      <c r="I11" s="2" t="s">
        <v>66</v>
      </c>
      <c r="J11" s="2">
        <v>40000</v>
      </c>
      <c r="K11" s="2" t="s">
        <v>64</v>
      </c>
      <c r="L11" s="2" t="s">
        <v>68</v>
      </c>
      <c r="M11" s="2">
        <f>J11*R11</f>
        <v>400000</v>
      </c>
      <c r="N11" s="30">
        <f t="shared" si="0"/>
        <v>400000</v>
      </c>
      <c r="O11" s="8">
        <f t="shared" si="2"/>
        <v>200000</v>
      </c>
      <c r="P11" s="2"/>
      <c r="Q11" s="2"/>
      <c r="R11" s="2">
        <v>10</v>
      </c>
    </row>
    <row r="12" spans="1:20">
      <c r="A12" s="15"/>
      <c r="B12" s="15"/>
      <c r="C12" s="18"/>
      <c r="D12" s="36"/>
      <c r="E12" s="24"/>
      <c r="F12" s="28"/>
      <c r="G12" s="28"/>
      <c r="H12" s="2" t="s">
        <v>28</v>
      </c>
      <c r="I12" s="2" t="s">
        <v>124</v>
      </c>
      <c r="J12" s="2">
        <v>50000</v>
      </c>
      <c r="K12" s="2" t="s">
        <v>63</v>
      </c>
      <c r="L12" s="2"/>
      <c r="M12" s="2">
        <f>J12*R12</f>
        <v>50000</v>
      </c>
      <c r="N12" s="30">
        <f t="shared" si="0"/>
        <v>50000</v>
      </c>
      <c r="O12" s="8">
        <f t="shared" si="2"/>
        <v>25000</v>
      </c>
      <c r="P12" s="2"/>
      <c r="Q12" s="2"/>
      <c r="R12" s="2">
        <v>1</v>
      </c>
    </row>
    <row r="13" spans="1:20" ht="33">
      <c r="A13" s="15"/>
      <c r="B13" s="15"/>
      <c r="C13" s="11" t="s">
        <v>20</v>
      </c>
      <c r="D13" s="33">
        <v>1</v>
      </c>
      <c r="E13" s="3" t="s">
        <v>26</v>
      </c>
      <c r="F13" s="13">
        <v>1600000</v>
      </c>
      <c r="G13" s="13">
        <f t="shared" si="1"/>
        <v>1600000</v>
      </c>
      <c r="H13" s="2" t="s">
        <v>28</v>
      </c>
      <c r="I13" s="2" t="s">
        <v>126</v>
      </c>
      <c r="J13" s="2"/>
      <c r="K13" s="2" t="s">
        <v>125</v>
      </c>
      <c r="L13" s="2" t="s">
        <v>29</v>
      </c>
      <c r="M13" s="2">
        <v>1600000</v>
      </c>
      <c r="N13" s="30">
        <f t="shared" si="0"/>
        <v>1600000</v>
      </c>
      <c r="O13" s="8">
        <f t="shared" si="2"/>
        <v>800000</v>
      </c>
      <c r="P13" s="2"/>
      <c r="Q13" s="2"/>
      <c r="R13" s="2"/>
    </row>
    <row r="14" spans="1:20">
      <c r="A14" s="15"/>
      <c r="B14" s="15"/>
      <c r="C14" s="11" t="s">
        <v>21</v>
      </c>
      <c r="D14" s="33">
        <v>4</v>
      </c>
      <c r="E14" s="3" t="s">
        <v>26</v>
      </c>
      <c r="F14" s="13">
        <v>800000</v>
      </c>
      <c r="G14" s="13">
        <f t="shared" si="1"/>
        <v>3200000</v>
      </c>
      <c r="H14" s="2" t="s">
        <v>28</v>
      </c>
      <c r="I14" s="2" t="s">
        <v>128</v>
      </c>
      <c r="J14" s="2"/>
      <c r="K14" s="2" t="s">
        <v>30</v>
      </c>
      <c r="L14" s="2" t="s">
        <v>31</v>
      </c>
      <c r="M14" s="2">
        <v>3200000</v>
      </c>
      <c r="N14" s="30">
        <f t="shared" si="0"/>
        <v>3200000</v>
      </c>
      <c r="O14" s="8">
        <f t="shared" si="2"/>
        <v>1600000</v>
      </c>
      <c r="P14" s="2"/>
      <c r="Q14" s="2"/>
      <c r="R14" s="2"/>
    </row>
    <row r="15" spans="1:20">
      <c r="A15" s="15"/>
      <c r="B15" s="15"/>
      <c r="C15" s="11" t="s">
        <v>22</v>
      </c>
      <c r="D15" s="33">
        <v>4</v>
      </c>
      <c r="E15" s="3" t="s">
        <v>26</v>
      </c>
      <c r="F15" s="13">
        <v>800000</v>
      </c>
      <c r="G15" s="13">
        <f t="shared" si="1"/>
        <v>3200000</v>
      </c>
      <c r="H15" s="2" t="s">
        <v>28</v>
      </c>
      <c r="I15" s="2" t="s">
        <v>128</v>
      </c>
      <c r="J15" s="2"/>
      <c r="K15" s="2" t="s">
        <v>127</v>
      </c>
      <c r="L15" s="2" t="s">
        <v>32</v>
      </c>
      <c r="M15" s="2">
        <v>800000</v>
      </c>
      <c r="N15" s="30">
        <f t="shared" si="0"/>
        <v>800000</v>
      </c>
      <c r="O15" s="8">
        <f t="shared" si="2"/>
        <v>400000</v>
      </c>
      <c r="P15" s="2"/>
      <c r="Q15" s="2"/>
      <c r="R15" s="2"/>
    </row>
    <row r="16" spans="1:20" ht="33">
      <c r="A16" s="15"/>
      <c r="B16" s="15"/>
      <c r="C16" s="11" t="s">
        <v>23</v>
      </c>
      <c r="D16" s="33">
        <v>1</v>
      </c>
      <c r="E16" s="3" t="s">
        <v>26</v>
      </c>
      <c r="F16" s="13">
        <v>2600000</v>
      </c>
      <c r="G16" s="13">
        <f t="shared" si="1"/>
        <v>2600000</v>
      </c>
      <c r="H16" s="2" t="s">
        <v>28</v>
      </c>
      <c r="I16" s="2" t="s">
        <v>130</v>
      </c>
      <c r="J16" s="2"/>
      <c r="K16" s="2" t="s">
        <v>129</v>
      </c>
      <c r="L16" s="2" t="s">
        <v>33</v>
      </c>
      <c r="M16" s="2">
        <v>2600000</v>
      </c>
      <c r="N16" s="30">
        <f t="shared" si="0"/>
        <v>2600000</v>
      </c>
      <c r="O16" s="8">
        <f t="shared" si="2"/>
        <v>1300000</v>
      </c>
      <c r="P16" s="2"/>
      <c r="Q16" s="2"/>
      <c r="R16" s="2">
        <v>1</v>
      </c>
    </row>
    <row r="17" spans="1:21">
      <c r="A17" s="15"/>
      <c r="B17" s="15"/>
      <c r="C17" s="16" t="s">
        <v>24</v>
      </c>
      <c r="D17" s="34">
        <v>1</v>
      </c>
      <c r="E17" s="22" t="s">
        <v>26</v>
      </c>
      <c r="F17" s="26">
        <v>300000</v>
      </c>
      <c r="G17" s="26">
        <f t="shared" si="1"/>
        <v>300000</v>
      </c>
      <c r="H17" s="2" t="s">
        <v>43</v>
      </c>
      <c r="I17" s="2" t="s">
        <v>146</v>
      </c>
      <c r="J17" s="5">
        <v>90000</v>
      </c>
      <c r="K17" s="2" t="s">
        <v>105</v>
      </c>
      <c r="L17" s="2" t="s">
        <v>122</v>
      </c>
      <c r="M17" s="2">
        <f>R17*J17</f>
        <v>90000</v>
      </c>
      <c r="N17" s="31">
        <f t="shared" ref="N17" si="3">P17*R17</f>
        <v>41354</v>
      </c>
      <c r="O17" s="8">
        <f>M17</f>
        <v>90000</v>
      </c>
      <c r="P17" s="2">
        <v>41354</v>
      </c>
      <c r="Q17" s="2"/>
      <c r="R17" s="2">
        <v>1</v>
      </c>
      <c r="T17" s="1">
        <f t="shared" ref="T17" si="4">P17*R17</f>
        <v>41354</v>
      </c>
      <c r="U17" s="7">
        <f t="shared" ref="U17" si="5">(M17-T17)/T17</f>
        <v>1.1763311892440875</v>
      </c>
    </row>
    <row r="18" spans="1:21">
      <c r="A18" s="15"/>
      <c r="B18" s="15"/>
      <c r="C18" s="18"/>
      <c r="D18" s="36"/>
      <c r="E18" s="24"/>
      <c r="F18" s="28"/>
      <c r="G18" s="28"/>
      <c r="H18" s="2" t="s">
        <v>121</v>
      </c>
      <c r="I18" s="2" t="s">
        <v>134</v>
      </c>
      <c r="J18" s="5">
        <v>7000</v>
      </c>
      <c r="K18" s="2" t="s">
        <v>133</v>
      </c>
      <c r="L18" s="2" t="s">
        <v>34</v>
      </c>
      <c r="M18" s="2">
        <f>R18*J18</f>
        <v>210000</v>
      </c>
      <c r="N18" s="30">
        <f>M18</f>
        <v>210000</v>
      </c>
      <c r="O18" s="8">
        <f t="shared" si="2"/>
        <v>105000</v>
      </c>
      <c r="P18" s="2"/>
      <c r="Q18" s="2"/>
      <c r="R18" s="2">
        <v>30</v>
      </c>
    </row>
    <row r="19" spans="1:21" ht="33">
      <c r="A19" s="15"/>
      <c r="B19" s="15"/>
      <c r="C19" s="11" t="s">
        <v>25</v>
      </c>
      <c r="D19" s="33">
        <v>1</v>
      </c>
      <c r="E19" s="3" t="s">
        <v>26</v>
      </c>
      <c r="F19" s="13">
        <v>700000</v>
      </c>
      <c r="G19" s="13">
        <f>F19*D19</f>
        <v>700000</v>
      </c>
      <c r="H19" s="2" t="s">
        <v>28</v>
      </c>
      <c r="I19" s="2" t="s">
        <v>132</v>
      </c>
      <c r="J19" s="2"/>
      <c r="K19" s="2" t="s">
        <v>131</v>
      </c>
      <c r="L19" s="2" t="s">
        <v>35</v>
      </c>
      <c r="M19" s="2">
        <v>700000</v>
      </c>
      <c r="N19" s="30">
        <f>M19</f>
        <v>700000</v>
      </c>
      <c r="O19" s="8">
        <f t="shared" si="2"/>
        <v>350000</v>
      </c>
      <c r="P19" s="2"/>
      <c r="Q19" s="2"/>
      <c r="R19" s="2"/>
    </row>
    <row r="20" spans="1:21">
      <c r="A20" s="22">
        <v>3</v>
      </c>
      <c r="B20" s="22" t="s">
        <v>48</v>
      </c>
      <c r="C20" s="16" t="s">
        <v>36</v>
      </c>
      <c r="D20" s="19">
        <v>4</v>
      </c>
      <c r="E20" s="22" t="s">
        <v>26</v>
      </c>
      <c r="F20" s="26">
        <v>570000</v>
      </c>
      <c r="G20" s="26">
        <f t="shared" si="1"/>
        <v>2280000</v>
      </c>
      <c r="H20" s="2" t="s">
        <v>106</v>
      </c>
      <c r="I20" s="2" t="s">
        <v>107</v>
      </c>
      <c r="J20" s="5">
        <v>434000</v>
      </c>
      <c r="K20" s="2" t="s">
        <v>76</v>
      </c>
      <c r="L20" s="2" t="s">
        <v>77</v>
      </c>
      <c r="M20" s="2">
        <f t="shared" ref="M20:M44" si="6">J20*R20</f>
        <v>1736000</v>
      </c>
      <c r="N20" s="30"/>
      <c r="O20" s="8">
        <f>M20</f>
        <v>1736000</v>
      </c>
      <c r="P20" s="2"/>
      <c r="Q20" s="2"/>
      <c r="R20" s="2">
        <v>4</v>
      </c>
    </row>
    <row r="21" spans="1:21">
      <c r="A21" s="23"/>
      <c r="B21" s="23"/>
      <c r="C21" s="17"/>
      <c r="D21" s="20"/>
      <c r="E21" s="23"/>
      <c r="F21" s="27"/>
      <c r="G21" s="27"/>
      <c r="H21" s="2" t="s">
        <v>71</v>
      </c>
      <c r="I21" s="2" t="s">
        <v>147</v>
      </c>
      <c r="J21" s="5">
        <v>70000</v>
      </c>
      <c r="K21" s="2" t="s">
        <v>75</v>
      </c>
      <c r="L21" s="2" t="s">
        <v>77</v>
      </c>
      <c r="M21" s="2">
        <f t="shared" si="6"/>
        <v>280000</v>
      </c>
      <c r="N21" s="31">
        <f t="shared" ref="N21" si="7">P21*R21</f>
        <v>272000</v>
      </c>
      <c r="O21" s="8">
        <f>M21</f>
        <v>280000</v>
      </c>
      <c r="P21" s="2">
        <v>68000</v>
      </c>
      <c r="Q21" s="2"/>
      <c r="R21" s="2">
        <v>4</v>
      </c>
      <c r="T21" s="1">
        <f t="shared" ref="T21" si="8">P21*R21</f>
        <v>272000</v>
      </c>
      <c r="U21" s="7">
        <f t="shared" ref="U21" si="9">(M21-T21)/T21</f>
        <v>2.9411764705882353E-2</v>
      </c>
    </row>
    <row r="22" spans="1:21">
      <c r="A22" s="23"/>
      <c r="B22" s="23"/>
      <c r="C22" s="17"/>
      <c r="D22" s="20"/>
      <c r="E22" s="23"/>
      <c r="F22" s="27"/>
      <c r="G22" s="27"/>
      <c r="H22" s="2" t="s">
        <v>109</v>
      </c>
      <c r="I22" s="2" t="s">
        <v>148</v>
      </c>
      <c r="J22" s="5">
        <v>56000</v>
      </c>
      <c r="K22" s="2" t="s">
        <v>74</v>
      </c>
      <c r="L22" s="2" t="s">
        <v>77</v>
      </c>
      <c r="M22" s="2">
        <f t="shared" si="6"/>
        <v>224000</v>
      </c>
      <c r="N22" s="30"/>
      <c r="O22" s="8">
        <f>M22</f>
        <v>224000</v>
      </c>
      <c r="P22" s="2"/>
      <c r="Q22" s="2"/>
      <c r="R22" s="2">
        <v>4</v>
      </c>
      <c r="U22" s="7"/>
    </row>
    <row r="23" spans="1:21">
      <c r="A23" s="23"/>
      <c r="B23" s="23"/>
      <c r="C23" s="18"/>
      <c r="D23" s="21"/>
      <c r="E23" s="24"/>
      <c r="F23" s="28"/>
      <c r="G23" s="28"/>
      <c r="H23" s="2" t="s">
        <v>138</v>
      </c>
      <c r="I23" s="2" t="s">
        <v>152</v>
      </c>
      <c r="J23" s="5">
        <v>10000</v>
      </c>
      <c r="K23" s="2" t="s">
        <v>73</v>
      </c>
      <c r="L23" s="2" t="s">
        <v>78</v>
      </c>
      <c r="M23" s="2">
        <f t="shared" si="6"/>
        <v>40000</v>
      </c>
      <c r="N23" s="30">
        <f t="shared" ref="N23" si="10">M23</f>
        <v>40000</v>
      </c>
      <c r="O23" s="8">
        <f>M23</f>
        <v>40000</v>
      </c>
      <c r="P23" s="2"/>
      <c r="Q23" s="2"/>
      <c r="R23" s="2">
        <v>4</v>
      </c>
      <c r="U23" s="7"/>
    </row>
    <row r="24" spans="1:21">
      <c r="A24" s="23"/>
      <c r="B24" s="23"/>
      <c r="C24" s="16" t="s">
        <v>37</v>
      </c>
      <c r="D24" s="19">
        <v>1</v>
      </c>
      <c r="E24" s="22" t="s">
        <v>26</v>
      </c>
      <c r="F24" s="26">
        <v>300000</v>
      </c>
      <c r="G24" s="26">
        <f t="shared" si="1"/>
        <v>300000</v>
      </c>
      <c r="H24" s="2" t="s">
        <v>81</v>
      </c>
      <c r="I24" s="2" t="s">
        <v>79</v>
      </c>
      <c r="J24" s="5">
        <v>135000</v>
      </c>
      <c r="K24" s="2" t="s">
        <v>82</v>
      </c>
      <c r="L24" s="2" t="s">
        <v>70</v>
      </c>
      <c r="M24" s="2">
        <f t="shared" si="6"/>
        <v>135000</v>
      </c>
      <c r="N24" s="31">
        <f t="shared" ref="N24" si="11">P24*R24</f>
        <v>86553</v>
      </c>
      <c r="O24" s="8">
        <f>M24</f>
        <v>135000</v>
      </c>
      <c r="P24" s="5">
        <v>86553</v>
      </c>
      <c r="Q24" s="2"/>
      <c r="R24" s="2">
        <v>1</v>
      </c>
      <c r="T24" s="1">
        <f t="shared" ref="T24" si="12">P24*R24</f>
        <v>86553</v>
      </c>
      <c r="U24" s="7">
        <f t="shared" ref="U24" si="13">(M24-T24)/T24</f>
        <v>0.55973796402204434</v>
      </c>
    </row>
    <row r="25" spans="1:21">
      <c r="A25" s="23"/>
      <c r="B25" s="23"/>
      <c r="C25" s="17"/>
      <c r="D25" s="20"/>
      <c r="E25" s="23"/>
      <c r="F25" s="27"/>
      <c r="G25" s="27"/>
      <c r="H25" s="2" t="s">
        <v>81</v>
      </c>
      <c r="I25" s="2" t="s">
        <v>139</v>
      </c>
      <c r="J25" s="5">
        <v>30800</v>
      </c>
      <c r="K25" s="2" t="s">
        <v>142</v>
      </c>
      <c r="L25" s="2" t="s">
        <v>83</v>
      </c>
      <c r="M25" s="2">
        <f t="shared" si="6"/>
        <v>30800</v>
      </c>
      <c r="N25" s="31">
        <f t="shared" ref="N20:N44" si="14">P25*R25</f>
        <v>25392.54</v>
      </c>
      <c r="O25" s="8">
        <f>M25</f>
        <v>30800</v>
      </c>
      <c r="P25" s="2">
        <v>25392.54</v>
      </c>
      <c r="Q25" s="2"/>
      <c r="R25" s="2">
        <v>1</v>
      </c>
      <c r="T25" s="1">
        <f t="shared" ref="T25:T28" si="15">P25*R25</f>
        <v>25392.54</v>
      </c>
      <c r="U25" s="7">
        <f t="shared" ref="U21:U44" si="16">(M25-T25)/T25</f>
        <v>0.2129546709387875</v>
      </c>
    </row>
    <row r="26" spans="1:21">
      <c r="A26" s="23"/>
      <c r="B26" s="23"/>
      <c r="C26" s="17"/>
      <c r="D26" s="20"/>
      <c r="E26" s="23"/>
      <c r="F26" s="27"/>
      <c r="G26" s="27"/>
      <c r="H26" s="2" t="s">
        <v>81</v>
      </c>
      <c r="I26" s="2" t="s">
        <v>140</v>
      </c>
      <c r="J26" s="5">
        <v>26400</v>
      </c>
      <c r="K26" s="2" t="s">
        <v>143</v>
      </c>
      <c r="L26" s="2" t="s">
        <v>83</v>
      </c>
      <c r="M26" s="2">
        <f t="shared" si="6"/>
        <v>26400</v>
      </c>
      <c r="N26" s="31">
        <f t="shared" si="14"/>
        <v>22583.63</v>
      </c>
      <c r="O26" s="8">
        <f>M26</f>
        <v>26400</v>
      </c>
      <c r="P26" s="2">
        <v>22583.63</v>
      </c>
      <c r="Q26" s="2"/>
      <c r="R26" s="2">
        <v>1</v>
      </c>
      <c r="T26" s="1">
        <f t="shared" si="15"/>
        <v>22583.63</v>
      </c>
      <c r="U26" s="7">
        <f t="shared" si="16"/>
        <v>0.16898833358499049</v>
      </c>
    </row>
    <row r="27" spans="1:21">
      <c r="A27" s="23"/>
      <c r="B27" s="23"/>
      <c r="C27" s="17"/>
      <c r="D27" s="20"/>
      <c r="E27" s="23"/>
      <c r="F27" s="27"/>
      <c r="G27" s="27"/>
      <c r="H27" s="2" t="s">
        <v>81</v>
      </c>
      <c r="I27" s="2" t="s">
        <v>141</v>
      </c>
      <c r="J27" s="5">
        <v>33000</v>
      </c>
      <c r="K27" s="2" t="s">
        <v>144</v>
      </c>
      <c r="L27" s="2" t="s">
        <v>83</v>
      </c>
      <c r="M27" s="2">
        <f t="shared" si="6"/>
        <v>33000</v>
      </c>
      <c r="N27" s="31">
        <f t="shared" ref="N27" si="17">P27*R27</f>
        <v>27103.81</v>
      </c>
      <c r="O27" s="8">
        <f>M27</f>
        <v>33000</v>
      </c>
      <c r="P27" s="2">
        <v>27103.81</v>
      </c>
      <c r="Q27" s="2"/>
      <c r="R27" s="2">
        <v>1</v>
      </c>
      <c r="T27" s="1">
        <f t="shared" si="15"/>
        <v>27103.81</v>
      </c>
      <c r="U27" s="7">
        <f t="shared" si="16"/>
        <v>0.2175410025380195</v>
      </c>
    </row>
    <row r="28" spans="1:21">
      <c r="A28" s="23"/>
      <c r="B28" s="23"/>
      <c r="C28" s="18"/>
      <c r="D28" s="21"/>
      <c r="E28" s="24"/>
      <c r="F28" s="28"/>
      <c r="G28" s="28"/>
      <c r="H28" s="2" t="s">
        <v>81</v>
      </c>
      <c r="I28" s="2" t="s">
        <v>80</v>
      </c>
      <c r="J28" s="5">
        <v>74800</v>
      </c>
      <c r="K28" s="2" t="s">
        <v>145</v>
      </c>
      <c r="L28" s="2" t="s">
        <v>83</v>
      </c>
      <c r="M28" s="2">
        <f t="shared" si="6"/>
        <v>74800</v>
      </c>
      <c r="N28" s="31">
        <f t="shared" si="14"/>
        <v>62716.46</v>
      </c>
      <c r="O28" s="8">
        <f>M28</f>
        <v>74800</v>
      </c>
      <c r="P28" s="2">
        <v>62716.46</v>
      </c>
      <c r="Q28" s="2"/>
      <c r="R28" s="2">
        <v>1</v>
      </c>
      <c r="T28" s="1">
        <f t="shared" si="15"/>
        <v>62716.46</v>
      </c>
      <c r="U28" s="7">
        <f t="shared" si="16"/>
        <v>0.19266935665692866</v>
      </c>
    </row>
    <row r="29" spans="1:21">
      <c r="A29" s="23"/>
      <c r="B29" s="23"/>
      <c r="C29" s="16" t="s">
        <v>38</v>
      </c>
      <c r="D29" s="19">
        <v>1</v>
      </c>
      <c r="E29" s="22" t="s">
        <v>26</v>
      </c>
      <c r="F29" s="26">
        <v>1100000</v>
      </c>
      <c r="G29" s="26">
        <f t="shared" si="1"/>
        <v>1100000</v>
      </c>
      <c r="H29" s="2" t="s">
        <v>89</v>
      </c>
      <c r="I29" s="2" t="s">
        <v>150</v>
      </c>
      <c r="J29" s="2">
        <v>634000</v>
      </c>
      <c r="K29" s="2" t="s">
        <v>88</v>
      </c>
      <c r="L29" s="2" t="s">
        <v>69</v>
      </c>
      <c r="M29" s="2">
        <f t="shared" si="6"/>
        <v>634000</v>
      </c>
      <c r="N29" s="30">
        <f t="shared" ref="N29" si="18">M29</f>
        <v>634000</v>
      </c>
      <c r="O29" s="8">
        <f>M29</f>
        <v>634000</v>
      </c>
      <c r="P29" s="2"/>
      <c r="Q29" s="2"/>
      <c r="R29" s="2">
        <v>1</v>
      </c>
      <c r="U29" s="7"/>
    </row>
    <row r="30" spans="1:21">
      <c r="A30" s="23"/>
      <c r="B30" s="23"/>
      <c r="C30" s="17"/>
      <c r="D30" s="20"/>
      <c r="E30" s="23"/>
      <c r="F30" s="27"/>
      <c r="G30" s="27"/>
      <c r="H30" s="2" t="s">
        <v>151</v>
      </c>
      <c r="I30" s="2" t="s">
        <v>110</v>
      </c>
      <c r="J30" s="2">
        <v>76000</v>
      </c>
      <c r="K30" s="2" t="s">
        <v>87</v>
      </c>
      <c r="L30" s="2" t="s">
        <v>69</v>
      </c>
      <c r="M30" s="2">
        <f t="shared" si="6"/>
        <v>76000</v>
      </c>
      <c r="N30" s="30"/>
      <c r="O30" s="8">
        <f>M30</f>
        <v>76000</v>
      </c>
      <c r="P30" s="2"/>
      <c r="Q30" s="2"/>
      <c r="R30" s="2">
        <v>1</v>
      </c>
      <c r="U30" s="7"/>
    </row>
    <row r="31" spans="1:21">
      <c r="A31" s="23"/>
      <c r="B31" s="23"/>
      <c r="C31" s="18"/>
      <c r="D31" s="21"/>
      <c r="E31" s="24"/>
      <c r="F31" s="28"/>
      <c r="G31" s="28"/>
      <c r="H31" s="2" t="s">
        <v>85</v>
      </c>
      <c r="I31" s="2" t="s">
        <v>84</v>
      </c>
      <c r="J31" s="2">
        <v>390000</v>
      </c>
      <c r="K31" s="2" t="s">
        <v>73</v>
      </c>
      <c r="L31" s="2" t="s">
        <v>69</v>
      </c>
      <c r="M31" s="2">
        <f t="shared" si="6"/>
        <v>390000</v>
      </c>
      <c r="N31" s="30">
        <f t="shared" ref="N31" si="19">M31</f>
        <v>390000</v>
      </c>
      <c r="O31" s="8">
        <f>M31</f>
        <v>390000</v>
      </c>
      <c r="P31" s="2"/>
      <c r="Q31" s="2"/>
      <c r="R31" s="2">
        <v>1</v>
      </c>
      <c r="U31" s="7"/>
    </row>
    <row r="32" spans="1:21">
      <c r="A32" s="23"/>
      <c r="B32" s="23"/>
      <c r="C32" s="16" t="s">
        <v>39</v>
      </c>
      <c r="D32" s="19">
        <v>1</v>
      </c>
      <c r="E32" s="22" t="s">
        <v>26</v>
      </c>
      <c r="F32" s="26">
        <v>600000</v>
      </c>
      <c r="G32" s="26">
        <f t="shared" si="1"/>
        <v>600000</v>
      </c>
      <c r="H32" s="2" t="s">
        <v>89</v>
      </c>
      <c r="I32" s="2" t="s">
        <v>149</v>
      </c>
      <c r="J32" s="2">
        <v>452000</v>
      </c>
      <c r="K32" s="2" t="s">
        <v>88</v>
      </c>
      <c r="L32" s="2" t="s">
        <v>69</v>
      </c>
      <c r="M32" s="2">
        <f t="shared" si="6"/>
        <v>452000</v>
      </c>
      <c r="N32" s="30">
        <f t="shared" ref="N32" si="20">M32</f>
        <v>452000</v>
      </c>
      <c r="O32" s="8">
        <f>M32</f>
        <v>452000</v>
      </c>
      <c r="P32" s="2"/>
      <c r="Q32" s="2"/>
      <c r="R32" s="2">
        <v>1</v>
      </c>
      <c r="U32" s="7"/>
    </row>
    <row r="33" spans="1:21">
      <c r="A33" s="23"/>
      <c r="B33" s="23"/>
      <c r="C33" s="17"/>
      <c r="D33" s="20"/>
      <c r="E33" s="23"/>
      <c r="F33" s="27"/>
      <c r="G33" s="27"/>
      <c r="H33" s="2" t="s">
        <v>89</v>
      </c>
      <c r="I33" s="2" t="s">
        <v>156</v>
      </c>
      <c r="J33" s="2">
        <v>132000</v>
      </c>
      <c r="K33" s="2" t="s">
        <v>86</v>
      </c>
      <c r="L33" s="2" t="s">
        <v>69</v>
      </c>
      <c r="M33" s="2">
        <f t="shared" si="6"/>
        <v>132000</v>
      </c>
      <c r="N33" s="30">
        <f t="shared" ref="N33" si="21">M33</f>
        <v>132000</v>
      </c>
      <c r="O33" s="8">
        <f>M33</f>
        <v>132000</v>
      </c>
      <c r="P33" s="2"/>
      <c r="Q33" s="2"/>
      <c r="R33" s="2">
        <v>1</v>
      </c>
      <c r="U33" s="7"/>
    </row>
    <row r="34" spans="1:21">
      <c r="A34" s="23"/>
      <c r="B34" s="23"/>
      <c r="C34" s="18"/>
      <c r="D34" s="21"/>
      <c r="E34" s="24"/>
      <c r="F34" s="28"/>
      <c r="G34" s="28"/>
      <c r="H34" s="2" t="s">
        <v>89</v>
      </c>
      <c r="I34" s="2" t="s">
        <v>90</v>
      </c>
      <c r="J34" s="2">
        <v>16000</v>
      </c>
      <c r="K34" s="2" t="s">
        <v>72</v>
      </c>
      <c r="L34" s="2" t="s">
        <v>69</v>
      </c>
      <c r="M34" s="2">
        <f t="shared" si="6"/>
        <v>16000</v>
      </c>
      <c r="N34" s="30">
        <f t="shared" ref="N34" si="22">M34</f>
        <v>16000</v>
      </c>
      <c r="O34" s="8">
        <f>M34</f>
        <v>16000</v>
      </c>
      <c r="P34" s="2"/>
      <c r="Q34" s="2"/>
      <c r="R34" s="2">
        <v>1</v>
      </c>
      <c r="U34" s="7"/>
    </row>
    <row r="35" spans="1:21">
      <c r="A35" s="23"/>
      <c r="B35" s="23"/>
      <c r="C35" s="16" t="s">
        <v>40</v>
      </c>
      <c r="D35" s="19">
        <v>1</v>
      </c>
      <c r="E35" s="22" t="s">
        <v>26</v>
      </c>
      <c r="F35" s="26">
        <v>500000</v>
      </c>
      <c r="G35" s="26">
        <f t="shared" si="1"/>
        <v>500000</v>
      </c>
      <c r="H35" s="2" t="s">
        <v>91</v>
      </c>
      <c r="I35" s="2" t="s">
        <v>111</v>
      </c>
      <c r="J35" s="2">
        <v>215000</v>
      </c>
      <c r="K35" s="2" t="s">
        <v>88</v>
      </c>
      <c r="L35" s="2" t="s">
        <v>97</v>
      </c>
      <c r="M35" s="2">
        <f t="shared" si="6"/>
        <v>430000</v>
      </c>
      <c r="N35" s="30"/>
      <c r="O35" s="8">
        <f>M35</f>
        <v>430000</v>
      </c>
      <c r="P35" s="2"/>
      <c r="Q35" s="2"/>
      <c r="R35" s="2">
        <v>2</v>
      </c>
      <c r="U35" s="7"/>
    </row>
    <row r="36" spans="1:21">
      <c r="A36" s="23"/>
      <c r="B36" s="23"/>
      <c r="C36" s="17"/>
      <c r="D36" s="20"/>
      <c r="E36" s="23"/>
      <c r="F36" s="27"/>
      <c r="G36" s="27"/>
      <c r="H36" s="2" t="s">
        <v>91</v>
      </c>
      <c r="I36" s="2" t="s">
        <v>93</v>
      </c>
      <c r="J36" s="2">
        <v>54000</v>
      </c>
      <c r="K36" s="2" t="s">
        <v>86</v>
      </c>
      <c r="L36" s="2" t="s">
        <v>69</v>
      </c>
      <c r="M36" s="2">
        <f t="shared" si="6"/>
        <v>54000</v>
      </c>
      <c r="N36" s="30"/>
      <c r="O36" s="8">
        <f>M36</f>
        <v>54000</v>
      </c>
      <c r="P36" s="2"/>
      <c r="Q36" s="2"/>
      <c r="R36" s="2">
        <v>1</v>
      </c>
      <c r="U36" s="7"/>
    </row>
    <row r="37" spans="1:21">
      <c r="A37" s="23"/>
      <c r="B37" s="23"/>
      <c r="C37" s="18"/>
      <c r="D37" s="21"/>
      <c r="E37" s="24"/>
      <c r="F37" s="28"/>
      <c r="G37" s="28"/>
      <c r="H37" s="2" t="s">
        <v>89</v>
      </c>
      <c r="I37" s="2" t="s">
        <v>92</v>
      </c>
      <c r="J37" s="2">
        <v>16000</v>
      </c>
      <c r="K37" s="2" t="s">
        <v>72</v>
      </c>
      <c r="L37" s="2" t="s">
        <v>69</v>
      </c>
      <c r="M37" s="2">
        <f t="shared" si="6"/>
        <v>16000</v>
      </c>
      <c r="N37" s="30">
        <f t="shared" ref="N37" si="23">M37</f>
        <v>16000</v>
      </c>
      <c r="O37" s="8">
        <f>M37</f>
        <v>16000</v>
      </c>
      <c r="P37" s="2"/>
      <c r="Q37" s="2"/>
      <c r="R37" s="2">
        <v>1</v>
      </c>
      <c r="U37" s="7"/>
    </row>
    <row r="38" spans="1:21">
      <c r="A38" s="23"/>
      <c r="B38" s="23"/>
      <c r="C38" s="16" t="s">
        <v>41</v>
      </c>
      <c r="D38" s="19">
        <v>1</v>
      </c>
      <c r="E38" s="22" t="s">
        <v>26</v>
      </c>
      <c r="F38" s="26">
        <v>100000</v>
      </c>
      <c r="G38" s="26">
        <f t="shared" si="1"/>
        <v>100000</v>
      </c>
      <c r="H38" s="2" t="s">
        <v>96</v>
      </c>
      <c r="I38" s="2" t="s">
        <v>155</v>
      </c>
      <c r="J38" s="2">
        <v>30000</v>
      </c>
      <c r="K38" s="2" t="s">
        <v>88</v>
      </c>
      <c r="L38" s="2" t="s">
        <v>97</v>
      </c>
      <c r="M38" s="2">
        <f t="shared" si="6"/>
        <v>60000</v>
      </c>
      <c r="N38" s="30"/>
      <c r="O38" s="8">
        <f>M38</f>
        <v>60000</v>
      </c>
      <c r="P38" s="2"/>
      <c r="Q38" s="2"/>
      <c r="R38" s="2">
        <v>2</v>
      </c>
      <c r="U38" s="7"/>
    </row>
    <row r="39" spans="1:21">
      <c r="A39" s="23"/>
      <c r="B39" s="23"/>
      <c r="C39" s="17"/>
      <c r="D39" s="20"/>
      <c r="E39" s="23"/>
      <c r="F39" s="27"/>
      <c r="G39" s="27"/>
      <c r="H39" s="2" t="s">
        <v>94</v>
      </c>
      <c r="I39" s="2" t="s">
        <v>154</v>
      </c>
      <c r="J39" s="2">
        <v>10000</v>
      </c>
      <c r="K39" s="2" t="s">
        <v>87</v>
      </c>
      <c r="L39" s="2" t="s">
        <v>97</v>
      </c>
      <c r="M39" s="2">
        <f t="shared" si="6"/>
        <v>20000</v>
      </c>
      <c r="N39" s="30"/>
      <c r="O39" s="8">
        <f>M39</f>
        <v>20000</v>
      </c>
      <c r="P39" s="2"/>
      <c r="Q39" s="2"/>
      <c r="R39" s="2">
        <v>2</v>
      </c>
      <c r="U39" s="7"/>
    </row>
    <row r="40" spans="1:21">
      <c r="A40" s="23"/>
      <c r="B40" s="23"/>
      <c r="C40" s="18"/>
      <c r="D40" s="21"/>
      <c r="E40" s="24"/>
      <c r="F40" s="28"/>
      <c r="G40" s="28"/>
      <c r="H40" s="2" t="s">
        <v>95</v>
      </c>
      <c r="I40" s="2" t="s">
        <v>153</v>
      </c>
      <c r="J40" s="2">
        <v>20000</v>
      </c>
      <c r="K40" s="2" t="s">
        <v>73</v>
      </c>
      <c r="L40" s="2" t="s">
        <v>69</v>
      </c>
      <c r="M40" s="2">
        <f t="shared" si="6"/>
        <v>20000</v>
      </c>
      <c r="N40" s="30"/>
      <c r="O40" s="8">
        <f>M40</f>
        <v>20000</v>
      </c>
      <c r="P40" s="2"/>
      <c r="Q40" s="2"/>
      <c r="R40" s="2">
        <v>1</v>
      </c>
      <c r="U40" s="7"/>
    </row>
    <row r="41" spans="1:21" ht="49.5">
      <c r="A41" s="23"/>
      <c r="B41" s="23"/>
      <c r="C41" s="11" t="s">
        <v>42</v>
      </c>
      <c r="D41" s="33">
        <v>5</v>
      </c>
      <c r="E41" s="3" t="s">
        <v>26</v>
      </c>
      <c r="F41" s="13">
        <v>100000</v>
      </c>
      <c r="G41" s="13">
        <f t="shared" si="1"/>
        <v>500000</v>
      </c>
      <c r="H41" s="2" t="s">
        <v>43</v>
      </c>
      <c r="I41" s="2" t="s">
        <v>157</v>
      </c>
      <c r="J41" s="2">
        <v>100000</v>
      </c>
      <c r="K41" s="2" t="s">
        <v>44</v>
      </c>
      <c r="L41" s="2" t="s">
        <v>45</v>
      </c>
      <c r="M41" s="2">
        <f t="shared" si="6"/>
        <v>500000</v>
      </c>
      <c r="N41" s="30">
        <f t="shared" ref="N41:N44" si="24">M41</f>
        <v>500000</v>
      </c>
      <c r="O41" s="8">
        <f>M41</f>
        <v>500000</v>
      </c>
      <c r="P41" s="2"/>
      <c r="Q41" s="2"/>
      <c r="R41" s="2">
        <v>5</v>
      </c>
      <c r="U41" s="7"/>
    </row>
    <row r="42" spans="1:21">
      <c r="A42" s="23"/>
      <c r="B42" s="23"/>
      <c r="C42" s="16" t="s">
        <v>46</v>
      </c>
      <c r="D42" s="19">
        <v>1</v>
      </c>
      <c r="E42" s="22" t="s">
        <v>26</v>
      </c>
      <c r="F42" s="26">
        <v>800000</v>
      </c>
      <c r="G42" s="26">
        <f>F42*D42</f>
        <v>800000</v>
      </c>
      <c r="H42" s="2" t="s">
        <v>43</v>
      </c>
      <c r="I42" s="2" t="s">
        <v>100</v>
      </c>
      <c r="J42" s="2">
        <v>100000</v>
      </c>
      <c r="K42" s="2" t="s">
        <v>44</v>
      </c>
      <c r="L42" s="2" t="s">
        <v>104</v>
      </c>
      <c r="M42" s="2">
        <f t="shared" si="6"/>
        <v>200000</v>
      </c>
      <c r="N42" s="30">
        <f t="shared" si="24"/>
        <v>200000</v>
      </c>
      <c r="O42" s="8">
        <f>M42</f>
        <v>200000</v>
      </c>
      <c r="P42" s="2"/>
      <c r="Q42" s="2"/>
      <c r="R42" s="2">
        <v>2</v>
      </c>
      <c r="U42" s="7"/>
    </row>
    <row r="43" spans="1:21" ht="33">
      <c r="A43" s="23"/>
      <c r="B43" s="23"/>
      <c r="C43" s="17"/>
      <c r="D43" s="20"/>
      <c r="E43" s="23"/>
      <c r="F43" s="27"/>
      <c r="G43" s="27"/>
      <c r="H43" s="2" t="s">
        <v>43</v>
      </c>
      <c r="I43" s="2" t="s">
        <v>99</v>
      </c>
      <c r="J43" s="2">
        <v>19000</v>
      </c>
      <c r="K43" s="2" t="s">
        <v>102</v>
      </c>
      <c r="L43" s="2" t="s">
        <v>103</v>
      </c>
      <c r="M43" s="2">
        <f t="shared" si="6"/>
        <v>114000</v>
      </c>
      <c r="N43" s="30">
        <f t="shared" si="24"/>
        <v>114000</v>
      </c>
      <c r="O43" s="8">
        <f>M43</f>
        <v>114000</v>
      </c>
      <c r="P43" s="2"/>
      <c r="Q43" s="2"/>
      <c r="R43" s="2">
        <v>6</v>
      </c>
      <c r="U43" s="7"/>
    </row>
    <row r="44" spans="1:21" ht="33">
      <c r="A44" s="24"/>
      <c r="B44" s="24"/>
      <c r="C44" s="18"/>
      <c r="D44" s="21"/>
      <c r="E44" s="24"/>
      <c r="F44" s="28"/>
      <c r="G44" s="28"/>
      <c r="H44" s="2" t="s">
        <v>98</v>
      </c>
      <c r="I44" s="2" t="s">
        <v>135</v>
      </c>
      <c r="J44" s="2">
        <f>348000+68200+37200+21700+10900</f>
        <v>486000</v>
      </c>
      <c r="K44" s="2" t="s">
        <v>101</v>
      </c>
      <c r="L44" s="2" t="s">
        <v>83</v>
      </c>
      <c r="M44" s="2">
        <f t="shared" si="6"/>
        <v>486000</v>
      </c>
      <c r="N44" s="30">
        <f t="shared" si="24"/>
        <v>486000</v>
      </c>
      <c r="O44" s="8">
        <f>M44</f>
        <v>486000</v>
      </c>
      <c r="P44" s="2"/>
      <c r="Q44" s="2"/>
      <c r="R44" s="2">
        <v>1</v>
      </c>
      <c r="U44" s="7"/>
    </row>
    <row r="45" spans="1:21">
      <c r="A45" s="15">
        <v>4</v>
      </c>
      <c r="B45" s="15" t="s">
        <v>49</v>
      </c>
      <c r="C45" s="11" t="s">
        <v>50</v>
      </c>
      <c r="D45" s="33">
        <v>900</v>
      </c>
      <c r="E45" s="29" t="s">
        <v>158</v>
      </c>
      <c r="F45" s="13">
        <v>4500</v>
      </c>
      <c r="G45" s="13">
        <f t="shared" si="1"/>
        <v>4050000</v>
      </c>
      <c r="H45" s="2" t="s">
        <v>27</v>
      </c>
      <c r="I45" s="25" t="s">
        <v>56</v>
      </c>
      <c r="J45" s="25"/>
      <c r="K45" s="25"/>
      <c r="L45" s="25"/>
      <c r="M45" s="2">
        <v>4050000</v>
      </c>
      <c r="N45" s="30">
        <f>M45</f>
        <v>4050000</v>
      </c>
      <c r="O45" s="8">
        <f>M45</f>
        <v>4050000</v>
      </c>
      <c r="P45" s="4"/>
      <c r="Q45" s="4"/>
      <c r="R45" s="4"/>
    </row>
    <row r="46" spans="1:21" ht="33">
      <c r="A46" s="15"/>
      <c r="B46" s="15"/>
      <c r="C46" s="11" t="s">
        <v>51</v>
      </c>
      <c r="D46" s="33">
        <v>135</v>
      </c>
      <c r="E46" s="29" t="s">
        <v>158</v>
      </c>
      <c r="F46" s="13">
        <v>4500</v>
      </c>
      <c r="G46" s="13">
        <f t="shared" si="1"/>
        <v>607500</v>
      </c>
      <c r="H46" s="2" t="s">
        <v>27</v>
      </c>
      <c r="I46" s="25" t="s">
        <v>58</v>
      </c>
      <c r="J46" s="25"/>
      <c r="K46" s="25"/>
      <c r="L46" s="25"/>
      <c r="M46" s="2">
        <v>607500</v>
      </c>
      <c r="N46" s="30">
        <f t="shared" ref="N46:N52" si="25">M46</f>
        <v>607500</v>
      </c>
      <c r="O46" s="8">
        <f>M46</f>
        <v>607500</v>
      </c>
      <c r="P46" s="4"/>
      <c r="Q46" s="4"/>
      <c r="R46" s="4"/>
    </row>
    <row r="47" spans="1:21">
      <c r="A47" s="15"/>
      <c r="B47" s="15"/>
      <c r="C47" s="11" t="s">
        <v>52</v>
      </c>
      <c r="D47" s="12">
        <v>30</v>
      </c>
      <c r="E47" s="29" t="s">
        <v>158</v>
      </c>
      <c r="F47" s="13">
        <v>4500</v>
      </c>
      <c r="G47" s="13">
        <f t="shared" si="1"/>
        <v>135000</v>
      </c>
      <c r="H47" s="2" t="s">
        <v>27</v>
      </c>
      <c r="I47" s="25"/>
      <c r="J47" s="25"/>
      <c r="K47" s="25"/>
      <c r="L47" s="25"/>
      <c r="M47" s="2">
        <v>135000</v>
      </c>
      <c r="N47" s="30">
        <f t="shared" si="25"/>
        <v>135000</v>
      </c>
      <c r="O47" s="8">
        <f>M47</f>
        <v>135000</v>
      </c>
      <c r="P47" s="4"/>
      <c r="Q47" s="4"/>
      <c r="R47" s="4"/>
    </row>
    <row r="48" spans="1:21">
      <c r="A48" s="15"/>
      <c r="B48" s="15"/>
      <c r="C48" s="11" t="s">
        <v>53</v>
      </c>
      <c r="D48" s="12">
        <v>30</v>
      </c>
      <c r="E48" s="29" t="s">
        <v>158</v>
      </c>
      <c r="F48" s="13">
        <v>4500</v>
      </c>
      <c r="G48" s="13">
        <f t="shared" si="1"/>
        <v>135000</v>
      </c>
      <c r="H48" s="2" t="s">
        <v>27</v>
      </c>
      <c r="I48" s="25"/>
      <c r="J48" s="25"/>
      <c r="K48" s="25"/>
      <c r="L48" s="25"/>
      <c r="M48" s="2">
        <v>135000</v>
      </c>
      <c r="N48" s="30">
        <f t="shared" si="25"/>
        <v>135000</v>
      </c>
      <c r="O48" s="8">
        <f>M48</f>
        <v>135000</v>
      </c>
      <c r="P48" s="4"/>
      <c r="Q48" s="4"/>
      <c r="R48" s="4"/>
    </row>
    <row r="49" spans="1:18">
      <c r="A49" s="15"/>
      <c r="B49" s="15"/>
      <c r="C49" s="11" t="s">
        <v>54</v>
      </c>
      <c r="D49" s="12">
        <v>10</v>
      </c>
      <c r="E49" s="29" t="s">
        <v>158</v>
      </c>
      <c r="F49" s="13">
        <v>4500</v>
      </c>
      <c r="G49" s="13">
        <f t="shared" si="1"/>
        <v>45000</v>
      </c>
      <c r="H49" s="2" t="s">
        <v>27</v>
      </c>
      <c r="I49" s="25"/>
      <c r="J49" s="25"/>
      <c r="K49" s="25"/>
      <c r="L49" s="25"/>
      <c r="M49" s="2">
        <v>45000</v>
      </c>
      <c r="N49" s="30">
        <f t="shared" si="25"/>
        <v>45000</v>
      </c>
      <c r="O49" s="8">
        <f>M49</f>
        <v>45000</v>
      </c>
      <c r="P49" s="4"/>
      <c r="Q49" s="4"/>
      <c r="R49" s="4"/>
    </row>
    <row r="50" spans="1:18">
      <c r="A50" s="15"/>
      <c r="B50" s="15"/>
      <c r="C50" s="11" t="s">
        <v>55</v>
      </c>
      <c r="D50" s="33">
        <v>75</v>
      </c>
      <c r="E50" s="29" t="s">
        <v>158</v>
      </c>
      <c r="F50" s="13">
        <v>4500</v>
      </c>
      <c r="G50" s="13">
        <f>F50*D50</f>
        <v>337500</v>
      </c>
      <c r="H50" s="2" t="s">
        <v>27</v>
      </c>
      <c r="I50" s="25" t="s">
        <v>57</v>
      </c>
      <c r="J50" s="25"/>
      <c r="K50" s="25"/>
      <c r="L50" s="25"/>
      <c r="M50" s="2">
        <v>337500</v>
      </c>
      <c r="N50" s="30">
        <f t="shared" si="25"/>
        <v>337500</v>
      </c>
      <c r="O50" s="8">
        <f>M50</f>
        <v>337500</v>
      </c>
      <c r="P50" s="4"/>
      <c r="Q50" s="4"/>
      <c r="R50" s="4"/>
    </row>
    <row r="51" spans="1:18">
      <c r="A51" s="3">
        <v>5</v>
      </c>
      <c r="B51" s="3" t="s">
        <v>59</v>
      </c>
      <c r="C51" s="11" t="s">
        <v>60</v>
      </c>
      <c r="D51" s="12">
        <v>1</v>
      </c>
      <c r="E51" s="3" t="s">
        <v>26</v>
      </c>
      <c r="F51" s="13">
        <v>300000</v>
      </c>
      <c r="G51" s="13">
        <f t="shared" si="1"/>
        <v>300000</v>
      </c>
      <c r="H51" s="15"/>
      <c r="I51" s="15"/>
      <c r="J51" s="15"/>
      <c r="K51" s="15"/>
      <c r="L51" s="15"/>
      <c r="M51" s="2">
        <v>300000</v>
      </c>
      <c r="N51" s="30">
        <f t="shared" si="25"/>
        <v>300000</v>
      </c>
      <c r="O51" s="8">
        <f>M51</f>
        <v>300000</v>
      </c>
      <c r="P51" s="4"/>
      <c r="Q51" s="4"/>
      <c r="R51" s="4"/>
    </row>
    <row r="52" spans="1:18">
      <c r="A52" s="3">
        <v>6</v>
      </c>
      <c r="B52" s="3" t="s">
        <v>61</v>
      </c>
      <c r="C52" s="11"/>
      <c r="D52" s="12">
        <v>1</v>
      </c>
      <c r="E52" s="3" t="s">
        <v>26</v>
      </c>
      <c r="F52" s="13">
        <v>2200000</v>
      </c>
      <c r="G52" s="13">
        <f t="shared" si="1"/>
        <v>2200000</v>
      </c>
      <c r="H52" s="15"/>
      <c r="I52" s="15"/>
      <c r="J52" s="15"/>
      <c r="K52" s="15"/>
      <c r="L52" s="15"/>
      <c r="M52" s="2">
        <v>2200000</v>
      </c>
      <c r="N52" s="30">
        <f t="shared" si="25"/>
        <v>2200000</v>
      </c>
      <c r="O52" s="8">
        <f>M52</f>
        <v>2200000</v>
      </c>
      <c r="P52" s="4"/>
      <c r="Q52" s="4"/>
      <c r="R52" s="4"/>
    </row>
    <row r="53" spans="1:18">
      <c r="A53" s="3">
        <v>7</v>
      </c>
      <c r="B53" s="3" t="s">
        <v>62</v>
      </c>
      <c r="C53" s="11"/>
      <c r="D53" s="12">
        <v>1</v>
      </c>
      <c r="E53" s="3" t="s">
        <v>26</v>
      </c>
      <c r="F53" s="13">
        <v>1722000</v>
      </c>
      <c r="G53" s="13">
        <f t="shared" si="1"/>
        <v>1722000</v>
      </c>
      <c r="H53" s="15"/>
      <c r="I53" s="15"/>
      <c r="J53" s="15"/>
      <c r="K53" s="15"/>
      <c r="L53" s="15"/>
      <c r="M53" s="2">
        <v>1722000</v>
      </c>
      <c r="N53" s="30">
        <f>M53</f>
        <v>1722000</v>
      </c>
      <c r="O53" s="8">
        <f>M53</f>
        <v>1722000</v>
      </c>
      <c r="P53" s="4"/>
      <c r="Q53" s="4"/>
      <c r="R53" s="4"/>
    </row>
    <row r="54" spans="1:18">
      <c r="F54" s="1" t="s">
        <v>123</v>
      </c>
      <c r="G54" s="6">
        <f>SUM(G2:G53)</f>
        <v>32400000</v>
      </c>
    </row>
    <row r="55" spans="1:18">
      <c r="M55" s="2" t="s">
        <v>118</v>
      </c>
      <c r="N55" s="2" t="s">
        <v>119</v>
      </c>
      <c r="O55" s="2" t="s">
        <v>114</v>
      </c>
      <c r="P55" s="2"/>
    </row>
    <row r="56" spans="1:18">
      <c r="M56" s="2">
        <f>SUM(M2:M53)</f>
        <v>30000000</v>
      </c>
      <c r="N56" s="8">
        <f>SUM(N2:N53)</f>
        <v>27247703.440000001</v>
      </c>
      <c r="O56" s="8">
        <f>SUM(O2:O53)</f>
        <v>23345000</v>
      </c>
      <c r="P56" s="2"/>
    </row>
    <row r="57" spans="1:18">
      <c r="M57" s="9" t="s">
        <v>120</v>
      </c>
      <c r="N57" s="10">
        <f>(M56-N56)/M56</f>
        <v>9.1743218666666626E-2</v>
      </c>
      <c r="O57" s="10">
        <f>(M56-O56)/M56</f>
        <v>0.22183333333333333</v>
      </c>
      <c r="P57" s="2"/>
    </row>
    <row r="58" spans="1:18">
      <c r="M58" s="2" t="s">
        <v>136</v>
      </c>
      <c r="N58" s="14">
        <f>(N57+O57)/2</f>
        <v>0.15678827599999998</v>
      </c>
      <c r="O58" s="4" t="s">
        <v>137</v>
      </c>
      <c r="P58" s="14">
        <f>N57-N58</f>
        <v>-6.504505733333335E-2</v>
      </c>
    </row>
    <row r="60" spans="1:18">
      <c r="M60" s="1">
        <f>SUM(M17,M21,M24:M28)</f>
        <v>670000</v>
      </c>
      <c r="N60" s="32">
        <f>SUM(N17,N21,N24:N28)</f>
        <v>537703.43999999994</v>
      </c>
    </row>
    <row r="61" spans="1:18">
      <c r="N61" s="7">
        <f>(M60-N60)/M60</f>
        <v>0.19745755223880607</v>
      </c>
      <c r="O61" s="7">
        <f>O57</f>
        <v>0.22183333333333333</v>
      </c>
    </row>
    <row r="62" spans="1:18">
      <c r="N62" s="7">
        <f>(N61+O61)/2</f>
        <v>0.2096454427860697</v>
      </c>
      <c r="P62" s="7">
        <f>N61-N62</f>
        <v>-1.218789054726363E-2</v>
      </c>
    </row>
    <row r="68" spans="8:8">
      <c r="H68" s="6"/>
    </row>
    <row r="69" spans="8:8">
      <c r="H69" s="6"/>
    </row>
    <row r="70" spans="8:8">
      <c r="H70" s="6"/>
    </row>
    <row r="71" spans="8:8">
      <c r="H71" s="6"/>
    </row>
    <row r="72" spans="8:8">
      <c r="H72" s="6"/>
    </row>
    <row r="73" spans="8:8">
      <c r="H73" s="6"/>
    </row>
    <row r="74" spans="8:8">
      <c r="H74" s="6"/>
    </row>
    <row r="75" spans="8:8">
      <c r="H75" s="6"/>
    </row>
  </sheetData>
  <mergeCells count="66">
    <mergeCell ref="C17:C18"/>
    <mergeCell ref="D17:D18"/>
    <mergeCell ref="E17:E18"/>
    <mergeCell ref="F17:F18"/>
    <mergeCell ref="G17:G18"/>
    <mergeCell ref="C24:C28"/>
    <mergeCell ref="D24:D28"/>
    <mergeCell ref="E24:E28"/>
    <mergeCell ref="F24:F28"/>
    <mergeCell ref="G24:G28"/>
    <mergeCell ref="C20:C23"/>
    <mergeCell ref="D20:D23"/>
    <mergeCell ref="E20:E23"/>
    <mergeCell ref="F20:F23"/>
    <mergeCell ref="G20:G23"/>
    <mergeCell ref="E29:E31"/>
    <mergeCell ref="F29:F31"/>
    <mergeCell ref="G29:G31"/>
    <mergeCell ref="C32:C34"/>
    <mergeCell ref="D32:D34"/>
    <mergeCell ref="E32:E34"/>
    <mergeCell ref="F32:F34"/>
    <mergeCell ref="G32:G34"/>
    <mergeCell ref="H52:L52"/>
    <mergeCell ref="H53:L53"/>
    <mergeCell ref="H2:L2"/>
    <mergeCell ref="H3:L3"/>
    <mergeCell ref="H4:L4"/>
    <mergeCell ref="H5:L5"/>
    <mergeCell ref="H6:L6"/>
    <mergeCell ref="H7:L7"/>
    <mergeCell ref="I45:L45"/>
    <mergeCell ref="I46:L49"/>
    <mergeCell ref="I50:L50"/>
    <mergeCell ref="A45:A50"/>
    <mergeCell ref="H51:L51"/>
    <mergeCell ref="B2:B7"/>
    <mergeCell ref="A2:A7"/>
    <mergeCell ref="B8:B19"/>
    <mergeCell ref="A8:A19"/>
    <mergeCell ref="F10:F12"/>
    <mergeCell ref="G10:G12"/>
    <mergeCell ref="A20:A44"/>
    <mergeCell ref="B20:B44"/>
    <mergeCell ref="C42:C44"/>
    <mergeCell ref="D42:D44"/>
    <mergeCell ref="E42:E44"/>
    <mergeCell ref="F42:F44"/>
    <mergeCell ref="G42:G44"/>
    <mergeCell ref="C38:C40"/>
    <mergeCell ref="H1:L1"/>
    <mergeCell ref="C10:C12"/>
    <mergeCell ref="D10:D12"/>
    <mergeCell ref="E10:E12"/>
    <mergeCell ref="B45:B50"/>
    <mergeCell ref="D38:D40"/>
    <mergeCell ref="E38:E40"/>
    <mergeCell ref="F38:F40"/>
    <mergeCell ref="G38:G40"/>
    <mergeCell ref="C35:C37"/>
    <mergeCell ref="D35:D37"/>
    <mergeCell ref="E35:E37"/>
    <mergeCell ref="F35:F37"/>
    <mergeCell ref="G35:G37"/>
    <mergeCell ref="C29:C31"/>
    <mergeCell ref="D29:D31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C30" sqref="C30"/>
    </sheetView>
  </sheetViews>
  <sheetFormatPr defaultRowHeight="16.5"/>
  <sheetData/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推算表</vt:lpstr>
      <vt:lpstr>資料來源</vt:lpstr>
      <vt:lpstr>Sheet3</vt:lpstr>
    </vt:vector>
  </TitlesOfParts>
  <Company>AUO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raylinchen</dc:creator>
  <cp:lastModifiedBy>raylinchen</cp:lastModifiedBy>
  <dcterms:created xsi:type="dcterms:W3CDTF">2021-06-19T04:27:10Z</dcterms:created>
  <dcterms:modified xsi:type="dcterms:W3CDTF">2021-06-21T09:47:52Z</dcterms:modified>
</cp:coreProperties>
</file>